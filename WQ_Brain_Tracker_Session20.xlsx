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nutcharp/Downloads/WQ-Brain/"/>
    </mc:Choice>
  </mc:AlternateContent>
  <xr:revisionPtr revIDLastSave="0" documentId="8_{B445861D-2216-1B4D-A47F-D0F9F469B216}" xr6:coauthVersionLast="47" xr6:coauthVersionMax="47" xr10:uidLastSave="{00000000-0000-0000-0000-000000000000}"/>
  <bookViews>
    <workbookView xWindow="0" yWindow="0" windowWidth="28800" windowHeight="18000" tabRatio="500" activeTab="1" xr2:uid="{00000000-000D-0000-FFFF-FFFF00000000}"/>
  </bookViews>
  <sheets>
    <sheet name="📊 Results" sheetId="1" r:id="rId1"/>
    <sheet name="WQ_Brain_Tracker_Session20" sheetId="2" r:id="rId2"/>
    <sheet name="📈 Dashboard" sheetId="3" r:id="rId3"/>
  </sheets>
  <definedNames>
    <definedName name="_xlnm._FilterDatabase" localSheetId="0" hidden="1">'📊 Results'!$A$1:$L$1</definedName>
    <definedName name="_xlnm._FilterDatabase" localSheetId="1" hidden="1">WQ_Brain_Tracker_Session20!$A$1:$F$1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13" i="1" l="1"/>
  <c r="G1012" i="1"/>
  <c r="G1011" i="1"/>
  <c r="G1010" i="1"/>
  <c r="G1009" i="1"/>
  <c r="G1008" i="1"/>
  <c r="G1007" i="1"/>
  <c r="G1006" i="1"/>
  <c r="G1005" i="1"/>
  <c r="G1004" i="1"/>
  <c r="G1003" i="1"/>
  <c r="G1002" i="1"/>
  <c r="G1001"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D9" i="3"/>
  <c r="B9" i="3"/>
  <c r="D8" i="3"/>
  <c r="D7" i="3"/>
  <c r="D6" i="3"/>
  <c r="D5" i="3"/>
  <c r="D4" i="3"/>
</calcChain>
</file>

<file path=xl/sharedStrings.xml><?xml version="1.0" encoding="utf-8"?>
<sst xmlns="http://schemas.openxmlformats.org/spreadsheetml/2006/main" count="6655" uniqueCount="4007">
  <si>
    <t>🧠  WorldQuant BRAIN — Research Dashboard</t>
  </si>
  <si>
    <t>🏆  IQC 2026 Status</t>
  </si>
  <si>
    <t>D1 Score</t>
  </si>
  <si>
    <t>Total Tested</t>
  </si>
  <si>
    <t>IQC Stage 1 Rank</t>
  </si>
  <si>
    <t>✅ Submitted</t>
  </si>
  <si>
    <t>Challenge Score</t>
  </si>
  <si>
    <t>❌ Rejected</t>
  </si>
  <si>
    <t>Challenge Rank</t>
  </si>
  <si>
    <t>Best Sharpe</t>
  </si>
  <si>
    <t>Deadline</t>
  </si>
  <si>
    <t>May 18, 2026</t>
  </si>
  <si>
    <t>Best Fitness</t>
  </si>
  <si>
    <t>Days Remaining</t>
  </si>
  <si>
    <t>Fields Tracked</t>
  </si>
  <si>
    <t>📋  Submit Queue (highest score first)</t>
  </si>
  <si>
    <t>Date</t>
  </si>
  <si>
    <t>Alpha</t>
  </si>
  <si>
    <t>Score Δ</t>
  </si>
  <si>
    <t>Description</t>
  </si>
  <si>
    <t>✅ May 9</t>
  </si>
  <si>
    <t>NEW-5b</t>
  </si>
  <si>
    <t>+552</t>
  </si>
  <si>
    <t>TOP500 DV5 — DONE</t>
  </si>
  <si>
    <t>✅ May 9/10</t>
  </si>
  <si>
    <t>VA-1</t>
  </si>
  <si>
    <t>+238</t>
  </si>
  <si>
    <t>TOP3000 valanalystmodel_qva_incstmt — DONE</t>
  </si>
  <si>
    <t>✅ May 10</t>
  </si>
  <si>
    <t>NEW-3b</t>
  </si>
  <si>
    <t>+340</t>
  </si>
  <si>
    <t>TOP500 ttmocfev naked — DONE</t>
  </si>
  <si>
    <t>✅ May 12</t>
  </si>
  <si>
    <t>ZY2OXdKQ 🆕</t>
  </si>
  <si>
    <t>TOP500 rel5ybp — agent find, corr 0.55 — DONE</t>
  </si>
  <si>
    <t>✅ May 13</t>
  </si>
  <si>
    <t>npnMdNNz 🆕</t>
  </si>
  <si>
    <t>+396</t>
  </si>
  <si>
    <t>TOP3000 FANGMA VMM11 ts_zscore — DONE</t>
  </si>
  <si>
    <t>May 14</t>
  </si>
  <si>
    <t>9q90GOld 🔥</t>
  </si>
  <si>
    <t>+639</t>
  </si>
  <si>
    <t>🔥 BEST SCORE EVER — TOP200 FANGMA VMM11 ts_rank, corr 0.24. Submit immediately.</t>
  </si>
  <si>
    <t>May 15</t>
  </si>
  <si>
    <t>e7nobL6O 🆕</t>
  </si>
  <si>
    <t>TBC</t>
  </si>
  <si>
    <t>TOP3000 FANGMA VMM11 ts_rank — corr 0.54. Check score on platform first.</t>
  </si>
  <si>
    <t>May 16</t>
  </si>
  <si>
    <t>E5qJ5qr0 🆕</t>
  </si>
  <si>
    <t>TOP3000 days_to_cover ts_rank — corr 0.36. Check score on platform first.</t>
  </si>
  <si>
    <t>May 17</t>
  </si>
  <si>
    <t>MPKN7bXr 🆕</t>
  </si>
  <si>
    <t>+37</t>
  </si>
  <si>
    <t>TOP500 pdy — fallback. Swap if d1v10 finds better.</t>
  </si>
  <si>
    <t>⚠️ Benched</t>
  </si>
  <si>
    <t>VMA-2 +66, T5K-2 +67, RV-1b +66, NEW-9b +50, Alt-1 +27, DV3b +4</t>
  </si>
  <si>
    <t>No slots — use only if queue alpha scores negative</t>
  </si>
  <si>
    <t>❌ Dead</t>
  </si>
  <si>
    <t>T1K-3 corr 0.72 | T5K-4 Fit 0.91 | NEW-7b score -8 | T5K-5 score -304 | onloan_conc sharpe -0.29 | sht_int sharpe 0.54</t>
  </si>
  <si>
    <t>All confirmed dead</t>
  </si>
  <si>
    <t>⚡  Key Rules</t>
  </si>
  <si>
    <t>Submit order</t>
  </si>
  <si>
    <t>Descending score change — NOT IS Sharpe order</t>
  </si>
  <si>
    <t>Score change</t>
  </si>
  <si>
    <t>Positive = submit  |  Negative = reject permanently</t>
  </si>
  <si>
    <t>Corr threshold</t>
  </si>
  <si>
    <t>Max self-corr &lt; 0.70 vs all submitted alphas</t>
  </si>
  <si>
    <t>Fitness floor</t>
  </si>
  <si>
    <t>≥ 1.00  (Sharpe ≥ 1.25, TO 1–70%, passed ≥ 6/7)</t>
  </si>
  <si>
    <t>Variable names</t>
  </si>
  <si>
    <t>Always verify from Fields Tracker — never guess</t>
  </si>
  <si>
    <t>TOP500 universe</t>
  </si>
  <si>
    <t>Usually corr 0.28–0.65 vs TOP3000 — test after any TOP3000 pass</t>
  </si>
  <si>
    <t>TOP1000 universe</t>
  </si>
  <si>
    <t>Usually corr 0.73–0.83 — skip unless variable is very different</t>
  </si>
  <si>
    <t>mdl177_2 prefix</t>
  </si>
  <si>
    <t>Same family as mdl177 — corr 0.90+ — not an independent signal</t>
  </si>
  <si>
    <t>🔬  Research Backlog (Next Session)</t>
  </si>
  <si>
    <t>Priority</t>
  </si>
  <si>
    <t>Family</t>
  </si>
  <si>
    <t>Fields to Test</t>
  </si>
  <si>
    <t>Rationale</t>
  </si>
  <si>
    <t>1 — Running</t>
  </si>
  <si>
    <t>❌ DEAD — industryrrelativevaluefactor (double-r)</t>
  </si>
  <si>
    <t>ALL 8 fields tested — ALL fitness &lt; 1.00. Entire family dead.</t>
  </si>
  <si>
    <t>d1v10 complete. Every field below fitness threshold. Do not retest.</t>
  </si>
  <si>
    <t>2 — Pending</t>
  </si>
  <si>
    <t>✅ DONE — fangma_vmm11 tune variants</t>
  </si>
  <si>
    <t>npnMdNNz (zscore +396), 9q90GOld (ts_rank TOP200 +639), e7nobL6O (ts_rank TOP3000 TBC)</t>
  </si>
  <si>
    <t>Tune complete. 9q90GOld is best score ever found (+639).</t>
  </si>
  <si>
    <t>1 — In d1v11</t>
  </si>
  <si>
    <t>valanalystmodel siblings</t>
  </si>
  <si>
    <t>qva_fwdep, qva_bp, qva_revs, qva_divy, qva_epssurp, qva_valuation</t>
  </si>
  <si>
    <t>VA-1 scored +238 — siblings in d1v11 batch</t>
  </si>
  <si>
    <t>2 — In d1v11</t>
  </si>
  <si>
    <t>vma2 siblings</t>
  </si>
  <si>
    <t>vma2_ma, vma2_ma_ee, vma2_ma_em, vma2_ma_pm</t>
  </si>
  <si>
    <t>VMA-2 scored +66 — siblings in d1v11 batch</t>
  </si>
  <si>
    <t>3 — In d1v11</t>
  </si>
  <si>
    <t>5yr relativevalue siblings</t>
  </si>
  <si>
    <t>rel5yep, rel5yocfp, rel5yfcfp, rel5ysp, rel5ycoreepsp</t>
  </si>
  <si>
    <t>rel5ybp +238, rel5yfwdep +385 — more siblings in d1v11</t>
  </si>
  <si>
    <t>🔥 HOT — In d1v11</t>
  </si>
  <si>
    <t>fangma siblings (gpam/rvm/mam/emf/dvm)</t>
  </si>
  <si>
    <t>gpam11/10/5, rvm6/1, mam16/11/6/5, emf25/20/15/4, dvm4/1</t>
  </si>
  <si>
    <t>vmm11 gave +396/+639 — siblings completely untested. Highest priority.</t>
  </si>
  <si>
    <t>4 — In d1v11</t>
  </si>
  <si>
    <t>valueanalystmodel (≠ valanalystmodel)</t>
  </si>
  <si>
    <t>qva_incstmt, qva_finstmt, qva_epmodule, qva_pegy, qva_earnval</t>
  </si>
  <si>
    <t>DIFFERENT model from valanalystmodel — mdl177_valueanalystmodel prefix. Untested.</t>
  </si>
  <si>
    <t>5 — In d1v11</t>
  </si>
  <si>
    <t>earningmomentumfactor400</t>
  </si>
  <si>
    <t>rev6, numrevy1, numrevq1, epsrm, fqsurs_std, salesurp, stockrating, y1aepsg, cvfy1eps, fcfroey1p</t>
  </si>
  <si>
    <t>Fresh analyst momentum family — completely untested. 10 candidates.</t>
  </si>
  <si>
    <t>🔄 d1v11 STATUS</t>
  </si>
  <si>
    <t>~120 expressions queued — run: cp parameters_d1_v11.py parameters.py &amp;&amp; python3 main.py</t>
  </si>
  <si>
    <t>~180 min runtime</t>
  </si>
  <si>
    <t>Awaiting results. Run agent.py on CSV when done.</t>
  </si>
  <si>
    <t>🧮  Fitness Formula Reference</t>
  </si>
  <si>
    <t>Formula</t>
  </si>
  <si>
    <t>Fitness = √( |Returns%| / max(TO%, 12.5%) ) × Sharpe</t>
  </si>
  <si>
    <t>TO 10%</t>
  </si>
  <si>
    <t>Need Returns &gt; 6.5% with Sharpe ≥ 1.25</t>
  </si>
  <si>
    <t>TO 25%</t>
  </si>
  <si>
    <t>Need Returns &gt; 7% with Sharpe ≥ 1.7</t>
  </si>
  <si>
    <t>TO 30%</t>
  </si>
  <si>
    <t>Need Returns &gt; 9% with Sharpe ≥ 1.7</t>
  </si>
  <si>
    <t>⚠️  D0 WARNING</t>
  </si>
  <si>
    <t>D0 thresholds: Sharpe ≥ 2.0, Fitness ≥ 1.30 — NOT VIABLE. Focus 100% on D1.</t>
  </si>
  <si>
    <t>💰  Fee Note</t>
  </si>
  <si>
    <t>15 alphas ACTIVE = Tier 1 (up to $3,500/mo). Fees accruing at Conditional Consultant stage.</t>
  </si>
  <si>
    <t>Alpha ID</t>
  </si>
  <si>
    <t>Name</t>
  </si>
  <si>
    <t>Universe</t>
  </si>
  <si>
    <t>Sharpe</t>
  </si>
  <si>
    <t>Fitness</t>
  </si>
  <si>
    <t>TO %</t>
  </si>
  <si>
    <t>Max Corr</t>
  </si>
  <si>
    <t>Status</t>
  </si>
  <si>
    <t>Rejection Reason</t>
  </si>
  <si>
    <t>Date Submitted</t>
  </si>
  <si>
    <t>Notes</t>
  </si>
  <si>
    <t>Expression</t>
  </si>
  <si>
    <t>A1</t>
  </si>
  <si>
    <t>Volatility Reversal</t>
  </si>
  <si>
    <t>TOP3000</t>
  </si>
  <si>
    <t>Fitness Block</t>
  </si>
  <si>
    <t>Signal decays rapidly. Pure vol signals fully arbitraged.</t>
  </si>
  <si>
    <t>-rank(ts_std_dev(returns,20))</t>
  </si>
  <si>
    <t>A2</t>
  </si>
  <si>
    <t>Vol-Normalized Momentum</t>
  </si>
  <si>
    <t>Simple delta has signal but Fitness &lt;1.0. Needs second ingredient.</t>
  </si>
  <si>
    <t>-rank(ts_delta(close,5))</t>
  </si>
  <si>
    <t>A3</t>
  </si>
  <si>
    <t>Vol-Ratio Reversal</t>
  </si>
  <si>
    <t>Train/Test Overfit</t>
  </si>
  <si>
    <t>Train-Test gap &gt;0.5 = disqualifying overfit.</t>
  </si>
  <si>
    <t>-rank(ts_corr(close,volume,10)/ts_std_dev(returns,20))</t>
  </si>
  <si>
    <t>A4</t>
  </si>
  <si>
    <t>P/S Momentum</t>
  </si>
  <si>
    <t>Template alpha. sales_ps most reliable fundamental found.</t>
  </si>
  <si>
    <t>-rank(ts_decay_linear(close/sales_ps,21)*rank(ts_delta(close,5)))</t>
  </si>
  <si>
    <t>A5</t>
  </si>
  <si>
    <t>Bookvalue Momentum</t>
  </si>
  <si>
    <t>2021-2022 Collapse</t>
  </si>
  <si>
    <t>bookvalue_ps weaker than sales_ps. Distorted by buybacks.</t>
  </si>
  <si>
    <t>-rank(ts_decay_linear(close/bookvalue_ps,21)*rank(ts_delta(close,5)))</t>
  </si>
  <si>
    <t>A6</t>
  </si>
  <si>
    <t>Sales Delta</t>
  </si>
  <si>
    <t>Dead Signal</t>
  </si>
  <si>
    <t>Pure fundamental momentum fails alone. Too slow, too low TO.</t>
  </si>
  <si>
    <t>-rank(ts_delta(sales_ps,63))</t>
  </si>
  <si>
    <t>A7</t>
  </si>
  <si>
    <t>EV/EBITDA Reversion</t>
  </si>
  <si>
    <t>Train&gt;&gt;Test overfit. 2021/2022 both negative = dead.</t>
  </si>
  <si>
    <t>-ts_zscore(enterprise_value/ebitda,63)</t>
  </si>
  <si>
    <t>A8</t>
  </si>
  <si>
    <t>Vol-Corr Momentum</t>
  </si>
  <si>
    <t>No consistent signal. ts_corr highly unstable Train/Test.</t>
  </si>
  <si>
    <t>-rank(ts_corr(returns,volume,10))</t>
  </si>
  <si>
    <t>A9</t>
  </si>
  <si>
    <t>Price Reversal × Volume</t>
  </si>
  <si>
    <t>Best IS Sharpe submitted. Turnover high but passed Fitness=1.00.</t>
  </si>
  <si>
    <t>-rank(ts_delta(close,1)*ts_rank(volume,5))</t>
  </si>
  <si>
    <t>A10</t>
  </si>
  <si>
    <t>Liquidity Momentum</t>
  </si>
  <si>
    <t>current_ratio rare working fundamental. Delay 1 only.</t>
  </si>
  <si>
    <t>-rank(ts_decay_linear(current_ratio,21)*rank(ts_delta(close,5)))</t>
  </si>
  <si>
    <t>A11</t>
  </si>
  <si>
    <t>Return Assets Momentum</t>
  </si>
  <si>
    <t>Negative IS. return_assets COVID-distorted.</t>
  </si>
  <si>
    <t>-rank(ts_decay_linear(close/return_assets,21)*rank(ts_delta(close,20)))</t>
  </si>
  <si>
    <t>A12</t>
  </si>
  <si>
    <t>EBIT/CAPEX Efficiency</t>
  </si>
  <si>
    <t>Negative IS. External PDF claimed 1.62 Sharpe — unverifiable.</t>
  </si>
  <si>
    <t>-rank(ebit/capex)</t>
  </si>
  <si>
    <t>A13</t>
  </si>
  <si>
    <t>CLV Reversion</t>
  </si>
  <si>
    <t>Best IS Sharpe overall but 60% TO creates structural Fitness ceiling.</t>
  </si>
  <si>
    <t>-rank(((2*close-high-low)/(high-low))*ts_rank(volume,5))</t>
  </si>
  <si>
    <t>A14</t>
  </si>
  <si>
    <t>CLV+Volume/ADV20</t>
  </si>
  <si>
    <t>Same family as A13. 60% TO ceiling confirmed structural.</t>
  </si>
  <si>
    <t>-rank(((2*close-high-low)/(high-low))*volume/adv20)</t>
  </si>
  <si>
    <t>A15</t>
  </si>
  <si>
    <t>ADV20 Reversion</t>
  </si>
  <si>
    <t>Turnover Too High</t>
  </si>
  <si>
    <t>85% turnover. Fitness penalizes &gt;60% TO structurally.</t>
  </si>
  <si>
    <t>-rank(ts_delta(close,1)/adv20)</t>
  </si>
  <si>
    <t>A16</t>
  </si>
  <si>
    <t>Price Delta × Volume v2</t>
  </si>
  <si>
    <t>Self-Correlation</t>
  </si>
  <si>
    <t>0.96 vs A9. Minor delta change = same portfolio.</t>
  </si>
  <si>
    <t>-rank(ts_delta(close,2)*ts_rank(volume,10))</t>
  </si>
  <si>
    <t>A17</t>
  </si>
  <si>
    <t>VWAP Zscore × Volume</t>
  </si>
  <si>
    <t>63% TO. Same ceiling as CLV family. Abandoned family.</t>
  </si>
  <si>
    <t>-rank(ts_zscore(close-vwap,20)*ts_rank(volume,5))</t>
  </si>
  <si>
    <t>A18</t>
  </si>
  <si>
    <t>Current Ratio (Market Neut)</t>
  </si>
  <si>
    <t>0.84 vs A10. Same variable = same correlation regardless of settings.</t>
  </si>
  <si>
    <t>A19</t>
  </si>
  <si>
    <t>Momentum Up-Days</t>
  </si>
  <si>
    <t>Signal exists but Fitness ceiling. 37% TO insufficient returns.</t>
  </si>
  <si>
    <t>rank(ts_sum(returns&gt;0?1:0,250))</t>
  </si>
  <si>
    <t>A20</t>
  </si>
  <si>
    <t>ts_arg_max Reversion</t>
  </si>
  <si>
    <t>2021 Sharpe 0.56-0.73. Structural weakness in 2021.</t>
  </si>
  <si>
    <t>(vwap-close)/close/min(ts_decay_linear(rank(ts_arg_max(close,30)),2),0.20)</t>
  </si>
  <si>
    <t>A21</t>
  </si>
  <si>
    <t>IV Regime + A9 Signal</t>
  </si>
  <si>
    <t>IV filter confirmed working (threshold 0.3). Inner signal = A9 = 0.85 corr.</t>
  </si>
  <si>
    <t>trade_when(ts_rank(implied_volatility_call_60,252)&gt;0.3,-rank(ts_delta(close,1)*ts_rank(volume,5)),-1)</t>
  </si>
  <si>
    <t>A22</t>
  </si>
  <si>
    <t>IV + CLV Filter</t>
  </si>
  <si>
    <t>CLV without volume loses too much signal. Fitness 0.75.</t>
  </si>
  <si>
    <t>trade_when(ts_rank(implied_volatility_call_60,252)&gt;0.3,-rank((2*close-high-low)/(high-low)),-1)</t>
  </si>
  <si>
    <t>A23</t>
  </si>
  <si>
    <t>IV + Current Ratio Filter</t>
  </si>
  <si>
    <t>0.9445 vs A10. Same var = same corr. Need different data source.</t>
  </si>
  <si>
    <t>trade_when(ts_rank(implied_volatility_call_60,252)&gt;0.3,-rank(ts_decay_linear(current_ratio,21)*rank(ts_delta(close,5))),-1)</t>
  </si>
  <si>
    <t>A24</t>
  </si>
  <si>
    <t>Debt/Equity Momentum</t>
  </si>
  <si>
    <t>COVID stimulus broke leverage signals. 2021 Sharpe -1.19.</t>
  </si>
  <si>
    <t>-rank(ts_decay_linear(debt/equity,21)*rank(ts_delta(close,5)))</t>
  </si>
  <si>
    <t>A25</t>
  </si>
  <si>
    <t>Debt/Assets Ratio</t>
  </si>
  <si>
    <t>Negative every year. COVID distorted all leverage signals.</t>
  </si>
  <si>
    <t>-rank(debt/assets)</t>
  </si>
  <si>
    <t>A26</t>
  </si>
  <si>
    <t>Social Buzz Momentum</t>
  </si>
  <si>
    <t>Fitness Ceiling</t>
  </si>
  <si>
    <t>snt_buzz family: 10+ variants, IS Fitness ceiling 0.98. Permanently abandoned. Signal inverted (must use +rank not -rank).</t>
  </si>
  <si>
    <t>-rank(ts_decay_linear(scl12_buzz,21)*rank(ts_delta(close,5)))</t>
  </si>
  <si>
    <t>A27</t>
  </si>
  <si>
    <t>OEY ts_rank</t>
  </si>
  <si>
    <t>operating_income unavailable or 2021-2022 collapse. Tutorial Sharpe unverifiable.</t>
  </si>
  <si>
    <t>-rank(ts_rank(operating_income/cap,250))</t>
  </si>
  <si>
    <t>A28</t>
  </si>
  <si>
    <t>Range Momentum</t>
  </si>
  <si>
    <t>2020 Sharpe -2.57. Extreme COVID vol sensitivity.</t>
  </si>
  <si>
    <t>rank(ts_mean(high-low,20)/ts_mean(high-low,252))</t>
  </si>
  <si>
    <t>A29</t>
  </si>
  <si>
    <t>Open-Close Reversion</t>
  </si>
  <si>
    <t>Consistently negative every year. No persistent cross-sectional signal.</t>
  </si>
  <si>
    <t>-rank(ts_mean(close-open,10))</t>
  </si>
  <si>
    <t>A30</t>
  </si>
  <si>
    <t>Earnings Revision Filter</t>
  </si>
  <si>
    <t>56% coverage kills sub-universe Sharpe. Analyst fields too sparse.</t>
  </si>
  <si>
    <t>trade_when(snt1_d1_netearningsrevision&gt;0,rank(ts_delta(close,5)),-1)</t>
  </si>
  <si>
    <t>MC3</t>
  </si>
  <si>
    <t>Value Rank ts_rank(252)</t>
  </si>
  <si>
    <t>05/04/2026</t>
  </si>
  <si>
    <t>ts_rank(252) rescued value signal from 2020 crash. Near-zero corr with all submitted. Alpha 11.</t>
  </si>
  <si>
    <t>-rank(ts_rank(mdl177_garpanalystmodel_qgp_vfpriceratio,252))</t>
  </si>
  <si>
    <t>M6</t>
  </si>
  <si>
    <t>CashFlow/EV ts_rank(252)</t>
  </si>
  <si>
    <t>Most consistent yearly profile in tracker — all 5 years positive, min 1.41. Alpha 12. ts_rank(252) pattern confirmed for Model value family.</t>
  </si>
  <si>
    <t>-rank(ts_rank(mdl177_2_sensitivityfactor400_ttmocfev,252))</t>
  </si>
  <si>
    <t>Z1</t>
  </si>
  <si>
    <t>Analyst Stock Rank Naked</t>
  </si>
  <si>
    <t>2021/2022 regime failure. A4 template also failed (2021=0.00, 2022=-0.41). Two-test rule exhausted. Abandoned.</t>
  </si>
  <si>
    <t>-rank(snt1_d1_stockrank)</t>
  </si>
  <si>
    <t>Z2</t>
  </si>
  <si>
    <t>scl12_sentiment Naked</t>
  </si>
  <si>
    <t>86% TO makes Fitness mathematically impossible. Would need 93% returns for Fitness 1.0 at this Sharpe. Dead.</t>
  </si>
  <si>
    <t>-rank(scl12_sentiment)</t>
  </si>
  <si>
    <t>Z3</t>
  </si>
  <si>
    <t>snt_buzz_ret Naked</t>
  </si>
  <si>
    <t>Negative both signs. Flipped sign also dead. Abandoned.</t>
  </si>
  <si>
    <t>-rank(snt_buzz_ret)</t>
  </si>
  <si>
    <t>Z4</t>
  </si>
  <si>
    <t>snt_social_value Naked</t>
  </si>
  <si>
    <t>Negative both signs. Flipped also dead. Abandoned.</t>
  </si>
  <si>
    <t>-rank(snt_social_value)</t>
  </si>
  <si>
    <t>M1</t>
  </si>
  <si>
    <t>Value-to-Price Rank Naked</t>
  </si>
  <si>
    <t>Sharpe Below Cutoff</t>
  </si>
  <si>
    <t>IS Sharpe 1.09 below 1.25 cutoff. Sub-universe Sharpe 0.46 below 0.47 cutoff. Led to MC3 discovery.</t>
  </si>
  <si>
    <t>-rank(mdl177_garpanalystmodel_qgp_vfpriceratio)</t>
  </si>
  <si>
    <t>M4</t>
  </si>
  <si>
    <t>CashFlow/EV Naked</t>
  </si>
  <si>
    <t>2020 collapse -2.09. ts_rank(252) fix led to M6 submission.</t>
  </si>
  <si>
    <t>-rank(mdl177_2_sensitivityfactor400_ttmocfev)</t>
  </si>
  <si>
    <t>DV1</t>
  </si>
  <si>
    <t>Current Earnings Yield ts_rank</t>
  </si>
  <si>
    <t>Fitness Below Threshold</t>
  </si>
  <si>
    <t>IS 1.04, Fitness 0.68. All years positive except 2023 flat. Below Fitness threshold.</t>
  </si>
  <si>
    <t>-rank(ts_rank(mdl177_2_deepvaluefactor_curep,252))</t>
  </si>
  <si>
    <t>DV2</t>
  </si>
  <si>
    <t>Forward 12m EP ts_rank</t>
  </si>
  <si>
    <t>Train/Test Gap + Fitness</t>
  </si>
  <si>
    <t>IS 1.23, Fit 0.87. Train 0.03 huge gap. 2023 flat. Below threshold. Base for DV2c.</t>
  </si>
  <si>
    <t>-rank(ts_rank(mdl177_2_deepvaluefactor_fwdep,252))</t>
  </si>
  <si>
    <t>DV2b</t>
  </si>
  <si>
    <t>Forward 12m EP ts_rank(126)</t>
  </si>
  <si>
    <t>Shorter window raised TO, no improvement. 2023 -0.38.</t>
  </si>
  <si>
    <t>-rank(ts_rank(mdl177_2_deepvaluefactor_fwdep,126))</t>
  </si>
  <si>
    <t>DV2c</t>
  </si>
  <si>
    <t>Forward 12m EP × Momentum</t>
  </si>
  <si>
    <t>05/06/2026</t>
  </si>
  <si>
    <t>IS 1.40, Fit 1.06. All 5 years positive. Train 1.37 no gap. Max corr 0.5482 vs A9.</t>
  </si>
  <si>
    <t>-rank(ts_rank(mdl177_2_deepvaluefactor_fwdep,252)*rank(ts_delta(close,21)))</t>
  </si>
  <si>
    <t>DV4</t>
  </si>
  <si>
    <t>EBITDA/EV ts_rank</t>
  </si>
  <si>
    <t>IS 0.72, Fit 0.35. 2022/2023 weak. Dead.</t>
  </si>
  <si>
    <t>-rank(ts_rank(mdl177_2_deepvaluefactor_ebitdaev,252))</t>
  </si>
  <si>
    <t>DV5</t>
  </si>
  <si>
    <t>TTM FCF/Price ts_rank</t>
  </si>
  <si>
    <t>05/07/2026</t>
  </si>
  <si>
    <t>IS 1.60, Fit 1.11. All 5 years positive. Max corr 0.5199 vs M6.</t>
  </si>
  <si>
    <t>-rank(ts_rank(mdl177_2_deepvaluefactor_ttmfcfp,252))</t>
  </si>
  <si>
    <t>DV6</t>
  </si>
  <si>
    <t>Book-to-Price ts_rank</t>
  </si>
  <si>
    <t>IS 0.26. 2021 -0.62, 2022 -0.22. Book value fails in growth regime.</t>
  </si>
  <si>
    <t>-rank(ts_rank(mdl177_2_deepvaluefactor_bp,252))</t>
  </si>
  <si>
    <t>DV7</t>
  </si>
  <si>
    <t>Pro Forma EP ts_rank</t>
  </si>
  <si>
    <t>2023 Collapse</t>
  </si>
  <si>
    <t>IS 0.69. 2023 -0.51. Train -0.50 gap.</t>
  </si>
  <si>
    <t>-rank(ts_rank(mdl177_2_deepvaluefactor_proformaep,252))</t>
  </si>
  <si>
    <t>DV8</t>
  </si>
  <si>
    <t>NAV/Price ts_rank</t>
  </si>
  <si>
    <t>IS 0.19. 2021 -0.39, 2022 -0.27. Dead.</t>
  </si>
  <si>
    <t>-rank(ts_rank(mdl177_2_deepvaluefactor_navp,252))</t>
  </si>
  <si>
    <t>DV9</t>
  </si>
  <si>
    <t>Cash/Price ts_rank</t>
  </si>
  <si>
    <t>2022 Collapse</t>
  </si>
  <si>
    <t>IS 0.48. 2022 -0.28. Dead.</t>
  </si>
  <si>
    <t>-rank(ts_rank(mdl177_2_deepvaluefactor_cashp,252))</t>
  </si>
  <si>
    <t>DV10</t>
  </si>
  <si>
    <t>Forward EPS/EV ts_rank</t>
  </si>
  <si>
    <t>IS 1.03, Fit 0.66. 2020 -0.13, 2023 flat. Below threshold.</t>
  </si>
  <si>
    <t>-rank(ts_rank(mdl177_2_deepvaluefactor_f12mepssev,252))</t>
  </si>
  <si>
    <t>DV10b</t>
  </si>
  <si>
    <t>Forward EPS/EV × Momentum</t>
  </si>
  <si>
    <t>IS 1.31, Fit 0.95. Just below threshold.</t>
  </si>
  <si>
    <t>-rank(ts_rank(mdl177_2_deepvaluefactor_f12mepssev,252)*rank(ts_delta(close,21)))</t>
  </si>
  <si>
    <t>DV3</t>
  </si>
  <si>
    <t>TTM FCF/EV ts_rank</t>
  </si>
  <si>
    <t>IS 1.37, Fit 0.86. All 5 years positive. Below threshold. Base for DV3b.</t>
  </si>
  <si>
    <t>-rank(ts_rank(mdl177_2_deepvaluefactor_ttmfcev,252))</t>
  </si>
  <si>
    <t>DV3b</t>
  </si>
  <si>
    <t>TTM FCF/EV × Momentum</t>
  </si>
  <si>
    <t>05/08/2026</t>
  </si>
  <si>
    <t>IS 1.67, Fit 1.29. All 5 years positive. Train 2.04 no overfit. Max corr 0.5050 vs M6.</t>
  </si>
  <si>
    <t>-rank(ts_rank(mdl177_2_deepvaluefactor_ttmfcev,252)*rank(ts_delta(close,21)))</t>
  </si>
  <si>
    <t>DV11</t>
  </si>
  <si>
    <t>TTM OCF/Price ts_rank</t>
  </si>
  <si>
    <t>IS 1.64, Fit 1.26 — passes on metrics. Killed: corr 0.8994 vs M6. ttmocfp ≈ ttmocfev.</t>
  </si>
  <si>
    <t>-rank(ts_rank(mdl177_2_deepvaluefactor_ttmocfp,252))</t>
  </si>
  <si>
    <t>M11</t>
  </si>
  <si>
    <t>5yr RelValue ts_rank(252)</t>
  </si>
  <si>
    <t>Submitted as Alpha 13. All years positive. Max corr 0.35 vs MC3. ts_rank(252) pattern confirmed again.</t>
  </si>
  <si>
    <t>-rank(ts_rank(mdl177_2_5yearrelativevaluefactor_rel5yfwdep,252))</t>
  </si>
  <si>
    <t>M10</t>
  </si>
  <si>
    <t>5yr RelValue Naked</t>
  </si>
  <si>
    <t>Submitted as Alpha 14. IS Fitness exactly 1.00. Max corr 0.59 vs M11. Near-zero corr 0.02 vs MC3.</t>
  </si>
  <si>
    <t>-rank(mdl177_2_5yearrelativevaluefactor_rel5yfwdep)</t>
  </si>
  <si>
    <t>M15b</t>
  </si>
  <si>
    <t>Norm Earnings Yield ts_rank(252)</t>
  </si>
  <si>
    <t>Submitted as Alpha 15. Max corr 0.57 vs M6. All 4 visible years positive. Test Sharpe 0.94 strong.</t>
  </si>
  <si>
    <t>-rank(ts_rank(mdl177_2_sensitivityfactor400_ney,252))</t>
  </si>
  <si>
    <t>M9</t>
  </si>
  <si>
    <t>CapEff ts_rank(252)</t>
  </si>
  <si>
    <t>Self-Corr 0.76 vs MC3</t>
  </si>
  <si>
    <t>IS stats pass but corr 0.7569 vs MC3 exceeds threshold. ts_rank(252) on same GARP family = structural similarity. Abandoned.</t>
  </si>
  <si>
    <t>-rank(ts_rank(mdl177_2_garpanalystmodel_qgp_capeff,252))</t>
  </si>
  <si>
    <t>M14b</t>
  </si>
  <si>
    <t>FANGMA ts_rank(252)</t>
  </si>
  <si>
    <t>Self-Corr 0.99 vs MC3</t>
  </si>
  <si>
    <t>FANGMA composite = same signal as vfpriceratio. Corr 0.9903 vs MC3. Entire FANGMA variable family permanently abandoned.</t>
  </si>
  <si>
    <t>-rank(ts_rank(mdl177_fangma_gpam_usa_fangma_gpam11,252))</t>
  </si>
  <si>
    <t>M12b</t>
  </si>
  <si>
    <t>ShortInt Chg12m ts_rank(252)</t>
  </si>
  <si>
    <t>ts_rank made IS worse (naked -0.81 → ts_rank -1.00). Genuine signal reversal post-2021, not volatility distortion. Both signs exhausted. Permanently abandoned.</t>
  </si>
  <si>
    <t>-rank(ts_rank(mdl177_2_sensitivityfactor400_chg12msip,252))</t>
  </si>
  <si>
    <t>M13b</t>
  </si>
  <si>
    <t>EarningsQuality Flipped Naked</t>
  </si>
  <si>
    <t>Fitness 0.53</t>
  </si>
  <si>
    <t>2022 -0.68 blocker. IS Fitness 0.53. ts_rank version also dead (IS 0.11). Both signs and both operators exhausted. Abandoned.</t>
  </si>
  <si>
    <t>rank(mdl177_2_earningsqualityfactor_uap)</t>
  </si>
  <si>
    <t>M13c</t>
  </si>
  <si>
    <t>EarningsQuality Flipped ts_rank(252)</t>
  </si>
  <si>
    <t>2022 structural reversal unfixable by ts_rank. IS Fitness 0.02. All operators exhausted on this variable. Permanently abandoned.</t>
  </si>
  <si>
    <t>rank(ts_rank(mdl177_2_earningsqualityfactor_uap,252))</t>
  </si>
  <si>
    <t>M15</t>
  </si>
  <si>
    <t>Norm Earnings Yield Naked</t>
  </si>
  <si>
    <t>2020 Weakness</t>
  </si>
  <si>
    <t>2020 -0.75. ts_rank(252) fix led to M15b submission.</t>
  </si>
  <si>
    <t>-rank(mdl177_2_sensitivityfactor400_ney)</t>
  </si>
  <si>
    <t>M16</t>
  </si>
  <si>
    <t>Idiosyncratic Risk 360d ts_rank</t>
  </si>
  <si>
    <t>Negative 2020-2023. Both risk family variables exhausted (90d and 360d). Permanently abandoned.</t>
  </si>
  <si>
    <t>-rank(ts_rank(unsystematic_risk_last_360_days,252))</t>
  </si>
  <si>
    <t>M17</t>
  </si>
  <si>
    <t>Beta SPY 60d Naked</t>
  </si>
  <si>
    <t>IS Sharpe literally zero. Beta signal broken in COVID crash. Entire beta/systematic risk family abandoned.</t>
  </si>
  <si>
    <t>-rank(beta_last_60_days_spy)</t>
  </si>
  <si>
    <t>M18</t>
  </si>
  <si>
    <t>fscore_quality Naked</t>
  </si>
  <si>
    <t>Coverage Too Low</t>
  </si>
  <si>
    <t>Only 19-26 stocks in TOP3000 universe. 30% coverage = ~45 stocks. Statistically meaningless. Do not revisit any fscore variants.</t>
  </si>
  <si>
    <t>-rank(fscore_quality)</t>
  </si>
  <si>
    <t>M19</t>
  </si>
  <si>
    <t>Systematic Risk 90d Naked</t>
  </si>
  <si>
    <t>Negative every year. Risk factor family fully exhausted. Do not revisit.</t>
  </si>
  <si>
    <t>-rank(systematic_risk_last_90_days)</t>
  </si>
  <si>
    <t>O1</t>
  </si>
  <si>
    <t>Forward Price 270d ts_rank</t>
  </si>
  <si>
    <t>2021 and 2022 both negative. Genuine structural reversal, not COVID spike. ts_rank cannot fix. Options level signals confirmed dead.</t>
  </si>
  <si>
    <t>-rank(ts_rank(forward_price_270,252))</t>
  </si>
  <si>
    <t>O2</t>
  </si>
  <si>
    <t>Call Breakeven 10d Naked</t>
  </si>
  <si>
    <t>Negative IS. 2020 spike surrounded by negative years = noise not signal. Entire call_breakeven family dead at all windows.</t>
  </si>
  <si>
    <t>-rank(call_breakeven_10)</t>
  </si>
  <si>
    <t>O3</t>
  </si>
  <si>
    <t>PCR Volume 270d Naked</t>
  </si>
  <si>
    <t>Negative IS. 64% TO ceiling. Negative every year except 2022. pcr_vol family dead at all windows.</t>
  </si>
  <si>
    <t>-rank(pcr_vol_270)</t>
  </si>
  <si>
    <t>O4</t>
  </si>
  <si>
    <t>Historical Vol 180d ts_rank</t>
  </si>
  <si>
    <t>2019 negative (-0.57). Weak signal throughout, no year above 0.87. Fitness ceiling. Abandon.</t>
  </si>
  <si>
    <t>-rank(ts_rank(historical_volatility_180,252))</t>
  </si>
  <si>
    <t>O5</t>
  </si>
  <si>
    <t>PCR Volume 60d Naked</t>
  </si>
  <si>
    <t>Mirror of O3. 68% TO + negative IS. pcr_vol family confirmed dead at all windows.</t>
  </si>
  <si>
    <t>-rank(pcr_vol_60)</t>
  </si>
  <si>
    <t>O6</t>
  </si>
  <si>
    <t>Call Breakeven 30d Naked</t>
  </si>
  <si>
    <t>Near-identical to O2. Entire breakeven family (call and put, all windows) is one dead signal.</t>
  </si>
  <si>
    <t>-rank(call_breakeven_30)</t>
  </si>
  <si>
    <t>O7</t>
  </si>
  <si>
    <t>Put Breakeven 10d Naked</t>
  </si>
  <si>
    <t>Same profile as O6/O2. Put and call breakeven share identical broken signal. Family fully exhausted.</t>
  </si>
  <si>
    <t>-rank(put_breakeven_10)</t>
  </si>
  <si>
    <t>O8</t>
  </si>
  <si>
    <t>IV Put 30d ts_rank</t>
  </si>
  <si>
    <t>Negative every year except 2021. ts_rank made it worse. IV put family dead in all directions.</t>
  </si>
  <si>
    <t>-rank(ts_rank(implied_volatility_put_30,252))</t>
  </si>
  <si>
    <t>S1</t>
  </si>
  <si>
    <t>NetRec% ts_rank</t>
  </si>
  <si>
    <t>Test&gt;Train gap. 2019 and 2021 negative. Not COVID spike — structural regime weakness. 5 variants tested, all failed.</t>
  </si>
  <si>
    <t>-rank(ts_rank(snt1_d1_netrecpercent,252))</t>
  </si>
  <si>
    <t>S1b</t>
  </si>
  <si>
    <t>NetRec% Market Neut</t>
  </si>
  <si>
    <t>Market neutralization distorted Long/Short counts. 2021/2022 still negative. Did not fix structural weakness.</t>
  </si>
  <si>
    <t>S1c</t>
  </si>
  <si>
    <t>NetRec% A4 Template</t>
  </si>
  <si>
    <t>Best Sentiment result. Good yearly profile but Fitness 0.56. 25% TO needs ~10.3% returns for Fitness 1.0. Unreachable.</t>
  </si>
  <si>
    <t>-rank(ts_decay_linear(ts_rank(snt1_d1_netrecpercent,252),21)*rank(ts_delta(close,5)))</t>
  </si>
  <si>
    <t>S1d</t>
  </si>
  <si>
    <t>NetRec% Decay0 Hybrid</t>
  </si>
  <si>
    <t>Best yearly profile in Sentiment family. 2021 flat not negative. 42% TO kills Fitness — need 17% returns at this Sharpe for Fitness 1.0.</t>
  </si>
  <si>
    <t>-rank(ts_decay_linear(ts_rank(snt1_d1_netrecpercent,252),4)*rank(ts_delta(close,5)))</t>
  </si>
  <si>
    <t>S1e</t>
  </si>
  <si>
    <t>NetRec% Volume Signal</t>
  </si>
  <si>
    <t>2021: -3.02 disqualifying. Volume amplifies noise for analyst rec signals. Dead.</t>
  </si>
  <si>
    <t>-rank(ts_rank(snt1_d1_netrecpercent,252)*ts_rank(volume,5))</t>
  </si>
  <si>
    <t>S1f</t>
  </si>
  <si>
    <t>NetRec% 21d Momentum</t>
  </si>
  <si>
    <t>TO dropped to 12% but returns fell proportionally. Fitness math unreachable. Two-test exhausted on expression family.</t>
  </si>
  <si>
    <t>-rank(ts_decay_linear(ts_rank(snt1_d1_netrecpercent,252),21)*rank(ts_delta(close,21)))</t>
  </si>
  <si>
    <t>S1g</t>
  </si>
  <si>
    <t>NetRec% 504d ts_rank</t>
  </si>
  <si>
    <t>2019 negative persists regardless of window. Structural weakness in variable not fixable by normalization. Family abandoned.</t>
  </si>
  <si>
    <t>-rank(ts_rank(snt1_d1_netrecpercent,504))</t>
  </si>
  <si>
    <t>S2</t>
  </si>
  <si>
    <t>BuyRec% ts_rank</t>
  </si>
  <si>
    <t>Near-identical to S1. High corr expected with netrecpercent — same underlying signal. 2019/2021 both negative.</t>
  </si>
  <si>
    <t>-rank(ts_rank(snt1_d1_buyrecpercent,252))</t>
  </si>
  <si>
    <t>S3</t>
  </si>
  <si>
    <t>EarningsRevision ts_rank</t>
  </si>
  <si>
    <t>Alternating years — pure noise. 2019 (-1.36) and 2021 (-1.13) deeply negative. Not fixable.</t>
  </si>
  <si>
    <t>-rank(ts_rank(snt1_d1_earningsrevision,252))</t>
  </si>
  <si>
    <t>S4</t>
  </si>
  <si>
    <t>LT EPS Growth ts_rank</t>
  </si>
  <si>
    <t>Test block inverted (-0.58). 2023 negative. Signal reverses out of sample. Dead.</t>
  </si>
  <si>
    <t>-rank(ts_rank(snt1_d1_longtermepsgrowthest,252))</t>
  </si>
  <si>
    <t>S5</t>
  </si>
  <si>
    <t>CoreD1 Score ts_rank</t>
  </si>
  <si>
    <t>Composite score signal inverted or broken. 2020/2021 both deeply negative. Dead.</t>
  </si>
  <si>
    <t>-rank(ts_rank(snt1_cored1_score,252))</t>
  </si>
  <si>
    <t>S6</t>
  </si>
  <si>
    <t>DownTarget% ts_rank</t>
  </si>
  <si>
    <t>2019 strong then collapses. 2022 (-1.26) structural reversal. Dead.</t>
  </si>
  <si>
    <t>-rank(ts_rank(snt1_d1_downtargetpercent,252))</t>
  </si>
  <si>
    <t>S7</t>
  </si>
  <si>
    <t>SellRec% ts_rank</t>
  </si>
  <si>
    <t>Negative IS. 2020/2021 both deeply negative. Contrarian signal structurally broken. Dead.</t>
  </si>
  <si>
    <t>-rank(ts_rank(snt1_d1_sellrecpercent,252))</t>
  </si>
  <si>
    <t>S8</t>
  </si>
  <si>
    <t>EarningsTorpedo ts_rank</t>
  </si>
  <si>
    <t>2022/2023 both negative — recent years deteriorating. Signal quality declining over time. Dead.</t>
  </si>
  <si>
    <t>-rank(ts_rank(snt1_d1_earningstorpedo,252))</t>
  </si>
  <si>
    <t>IV1</t>
  </si>
  <si>
    <t>IV Call-Put Diff 60d ts_rank</t>
  </si>
  <si>
    <t>2021 (-1.41) deeply negative. 57% TO ceiling. IV skew family confirmed dead across all operators and expiries.</t>
  </si>
  <si>
    <t>iv_diff=implied_volatility_call_60-implied_volatility_put_60; -rank(ts_rank(iv_diff,252))</t>
  </si>
  <si>
    <t>IV2</t>
  </si>
  <si>
    <t>IV Call/Put Ratio 60d ts_rank</t>
  </si>
  <si>
    <t>Ratio worse than subtraction. 2021 (-1.95) more negative. Ratio amplifies noise. Dead.</t>
  </si>
  <si>
    <t>iv_ratio=implied_volatility_call_60/implied_volatility_put_60; -rank(ts_rank(iv_ratio,252))</t>
  </si>
  <si>
    <t>IV4</t>
  </si>
  <si>
    <t>IV Call-Put Diff 180d ts_rank</t>
  </si>
  <si>
    <t>Longer expiry no improvement. 2020 negative. IV skew dead at all expiries. Options category fully exhausted.</t>
  </si>
  <si>
    <t>iv_diff_180=implied_volatility_call_180-implied_volatility_put_180; -rank(ts_rank(iv_diff_180,252))</t>
  </si>
  <si>
    <t>DV12</t>
  </si>
  <si>
    <t>Leading 12m Earnings Yield ts_rank</t>
  </si>
  <si>
    <t>IS 0.99, Fit 0.58. Dead.</t>
  </si>
  <si>
    <t>-rank(ts_rank(mdl177_2_deepvaluefactor_fcfp,252))</t>
  </si>
  <si>
    <t>DV13</t>
  </si>
  <si>
    <t>Forward 12m Median EP ts_rank</t>
  </si>
  <si>
    <t>IS 1.24, Fit 0.88. Base for DV13b.</t>
  </si>
  <si>
    <t>-rank(ts_rank(mdl177_2_deepvaluefactor_estep,252))</t>
  </si>
  <si>
    <t>DV13b</t>
  </si>
  <si>
    <t>Forward 12m Median EP × Momentum</t>
  </si>
  <si>
    <t>IS 1.42, Fit 1.08. Corr 0.9970 vs DV2c — same signal. Rejected.</t>
  </si>
  <si>
    <t>-rank(ts_rank(mdl177_2_deepvaluefactor_estep,252)*rank(ts_delta(close,21)))</t>
  </si>
  <si>
    <t>DV14</t>
  </si>
  <si>
    <t>Cash/EV ts_rank</t>
  </si>
  <si>
    <t>Dead.</t>
  </si>
  <si>
    <t>-rank(ts_rank(mdl177_2_deepvaluefactor_cashsev,252))</t>
  </si>
  <si>
    <t>DV15</t>
  </si>
  <si>
    <t>Indicated Dividend Yield ts_rank</t>
  </si>
  <si>
    <t>-rank(ts_rank(mdl177_2_deepvaluefactor_indidivy,252))</t>
  </si>
  <si>
    <t>DV16</t>
  </si>
  <si>
    <t>Price/Dividend Yield 126w ts_rank</t>
  </si>
  <si>
    <t>05/09/2026</t>
  </si>
  <si>
    <t>IS 1.61, Fit 1.26. All 5 years positive. Max corr 0.6729 vs DV2c. 126w window discovered via pdy borderline test.</t>
  </si>
  <si>
    <t>-rank(ts_rank(mdl177_2_deepvaluefactor_pdy,126))</t>
  </si>
  <si>
    <t>NEW-2</t>
  </si>
  <si>
    <t>5yr RelValue TOP500 ts_rank</t>
  </si>
  <si>
    <t>TOP500</t>
  </si>
  <si>
    <t>IS 1.89, Fit 1.88. TOP500 universe variant of M11. Max corr 0.6458 vs M11. Best fitness in batch.</t>
  </si>
  <si>
    <t>NEW-3</t>
  </si>
  <si>
    <t>TTM OCF/EV TOP500 ts_rank</t>
  </si>
  <si>
    <t>IS 1.77, Fit 1.62. TOP500 variant of M6. Max corr 0.5456 vs M6.</t>
  </si>
  <si>
    <t>NEW-4</t>
  </si>
  <si>
    <t>TTM OCF/EV TOP1000 ts_rank</t>
  </si>
  <si>
    <t>TOP1000</t>
  </si>
  <si>
    <t>IS 1.66, Fit 1.36. Corr 0.7339 vs M6 — over threshold. Rejected.</t>
  </si>
  <si>
    <t>NEW-5</t>
  </si>
  <si>
    <t>TTM FCF/Price TOP500 ts_rank</t>
  </si>
  <si>
    <t>IS 1.80, Fit 1.58. TOP500 variant of DV5. Max corr 0.2826 vs M6 — very clean.</t>
  </si>
  <si>
    <t>NEW-6</t>
  </si>
  <si>
    <t>TTM FCF/Price TOP1000 ts_rank</t>
  </si>
  <si>
    <t>IS 1.46, Fit 1.00. TOP1000 variant of DV5. Max corr 0.4608 vs M6. Check yearly before submitting.</t>
  </si>
  <si>
    <t>NEW-7</t>
  </si>
  <si>
    <t>PDY 126w TOP500 ts_rank</t>
  </si>
  <si>
    <t>IS 1.60, Fit 1.19. TOP500 variant of DV16. Max corr 0.4271 vs DV2c.</t>
  </si>
  <si>
    <t>NEW-1</t>
  </si>
  <si>
    <t>5yr RelValue TOP1000 ts_rank</t>
  </si>
  <si>
    <t>IS 1.92, Fit 1.75. Corr 0.7994 vs M11 — just over 0.70. Rejected. TOP500 passed instead.</t>
  </si>
  <si>
    <t>NEW-8</t>
  </si>
  <si>
    <t>NEY TOP1000 ts_rank</t>
  </si>
  <si>
    <t>IS 1.35, Fit 1.10. Corr 0.8687 vs M15b — same signal.</t>
  </si>
  <si>
    <t>NEW-9</t>
  </si>
  <si>
    <t>NEY TOP500 ts_rank</t>
  </si>
  <si>
    <t>IS 1.33, Fit 1.07. TOP500 variant of M15b. Max corr 0.6490 vs M15b. Check yearly before submitting.</t>
  </si>
  <si>
    <t>GA-1</t>
  </si>
  <si>
    <t>GARP capeff × Momentum (mdl177_2)</t>
  </si>
  <si>
    <t>IS 1.81, Fit 1.47. Corr 0.8411 vs DV2c. Score change -107 — hurts book. Permanently rejected.</t>
  </si>
  <si>
    <t>-rank(ts_rank(mdl177_2_garpanalystmodel_qgp_capeff,252)*rank(ts_delta(close,21)))</t>
  </si>
  <si>
    <t>GA-2</t>
  </si>
  <si>
    <t>GARP capeff × Momentum (mdl177)</t>
  </si>
  <si>
    <t>IS 1.86, Fit 1.56. Corr not yet checked — likely same issue as GA-1. Check before submitting.</t>
  </si>
  <si>
    <t>-rank(ts_rank(mdl177_garpanalystmodel_qgp_capeff,252)*rank(ts_delta(close,21)))</t>
  </si>
  <si>
    <t>GA-3</t>
  </si>
  <si>
    <t>GARP capeff Naked (mdl177)</t>
  </si>
  <si>
    <t>IS 1.74, Fit 1.42. Corr not yet checked. Check before submitting.</t>
  </si>
  <si>
    <t>-rank(ts_rank(mdl177_garpanalystmodel_qgp_capeff,252))</t>
  </si>
  <si>
    <t>GA-4</t>
  </si>
  <si>
    <t>GARP capeff Naked (mdl177_2)</t>
  </si>
  <si>
    <t>IS 1.57, Fit 1.19. Corr not yet checked. Likely correlated with GA-1 rejected variant.</t>
  </si>
  <si>
    <t>GA-5</t>
  </si>
  <si>
    <t>GARP roefcf × Momentum (mdl177)</t>
  </si>
  <si>
    <t>IS 1.59, Fit 1.22. Corr not yet checked.</t>
  </si>
  <si>
    <t>-rank(ts_rank(mdl177_garpanalystmodel_qgp_roefcf,252)*rank(ts_delta(close,21)))</t>
  </si>
  <si>
    <t>RV-1</t>
  </si>
  <si>
    <t>RelValue ttmfcfp × Momentum (mdl177_2)</t>
  </si>
  <si>
    <t>Score +66 only — superseded by RV-1b duplicate; submit RV-1b link instead</t>
  </si>
  <si>
    <t>IS 1.90, Fit 1.58. Same variable family as DV5 — check corr before submitting.</t>
  </si>
  <si>
    <t>-rank(ts_rank(mdl177_2_relativevaluemodel_ttmfcfp,252)*rank(ts_delta(close,21)))</t>
  </si>
  <si>
    <t>RV-2</t>
  </si>
  <si>
    <t>RelValue ttmfcfp Naked (mdl177_2)</t>
  </si>
  <si>
    <t>Corr 0.9617 vs DV5 — too high</t>
  </si>
  <si>
    <t>IS 1.66, Fit 1.19. Same variable family as DV5 — check corr.</t>
  </si>
  <si>
    <t>-rank(ts_rank(mdl177_2_relativevaluemodel_ttmfcfp,252))</t>
  </si>
  <si>
    <t>RV-3</t>
  </si>
  <si>
    <t>RelValue ttmfcfp × Momentum (mdl177)</t>
  </si>
  <si>
    <t>IS 1.90, Fit 1.58. Alt prefix of RV-1 — likely same signal. | Score +66, corr 0.4903 — same as RV-1, use this link</t>
  </si>
  <si>
    <t>-rank(ts_rank(mdl177_relativevaluemodel_ttmfcfp,252)*rank(ts_delta(close,21)))</t>
  </si>
  <si>
    <t>RV-4</t>
  </si>
  <si>
    <t>RelValue ttmfcfp Naked (mdl177)</t>
  </si>
  <si>
    <t>Corr 0.9617 vs DV5 — too high (naked version)</t>
  </si>
  <si>
    <t>IS 1.66, Fit 1.19. Alt prefix of RV-2 — likely same signal.</t>
  </si>
  <si>
    <t>-rank(ts_rank(mdl177_relativevaluemodel_ttmfcfp,252))</t>
  </si>
  <si>
    <t>FA-1</t>
  </si>
  <si>
    <t>FA fwd EP × Momentum</t>
  </si>
  <si>
    <t>Corr 1.0000 vs DV2c — literally identical alpha</t>
  </si>
  <si>
    <t>IS 1.40, Fit 1.06. Similar to DV2c — check corr before submitting.</t>
  </si>
  <si>
    <t>-rank(ts_rank(mdl177_fa_fc_fwdep,252)*rank(ts_delta(close,21)))</t>
  </si>
  <si>
    <t>FA-2</t>
  </si>
  <si>
    <t>FA fc_estep × Momentum</t>
  </si>
  <si>
    <t>Corr 0.9909 vs DV2c — essentially identical</t>
  </si>
  <si>
    <t>IS 1.45, Fit 1.12. Similar to DV13b (rejected) — check corr carefully.</t>
  </si>
  <si>
    <t>-rank(ts_rank(mdl177_2_relativevaluemodel_fc_estep,252)*rank(ts_delta(close,21)))</t>
  </si>
  <si>
    <t>ValAnalyst qva_incstmt Naked</t>
  </si>
  <si>
    <t>IS 1.66, Fit 1.18. Max corr 0.5687 vs MC3. Score change +290. New family — SUBMIT DIRECT.</t>
  </si>
  <si>
    <t>-rank(ts_rank(mdl177_valanalystmodel_qva_incstmt,252))</t>
  </si>
  <si>
    <t>VA-2</t>
  </si>
  <si>
    <t>ValAnalyst qva_incstmt × Momentum</t>
  </si>
  <si>
    <t>Corr 0.7422 vs DV2c AND score change -77</t>
  </si>
  <si>
    <t>IS 1.59, Fit 1.25. Check corr vs VA-1 before submitting — same variable.</t>
  </si>
  <si>
    <t>-rank(ts_rank(mdl177_valanalystmodel_qva_incstmt,252)*rank(ts_delta(close,21)))</t>
  </si>
  <si>
    <t>VMA-1</t>
  </si>
  <si>
    <t>VMA2 va × Momentum</t>
  </si>
  <si>
    <t>Score change -84 — hurts portfolio</t>
  </si>
  <si>
    <t>IS 1.55, Fit 1.07. Check score change and corr vs VMA-2 before submitting.</t>
  </si>
  <si>
    <t>-rank(ts_rank(mdl177_2_vma2_vma2_va,252)*rank(ts_delta(close,21)))</t>
  </si>
  <si>
    <t>VMA-2</t>
  </si>
  <si>
    <t>VMA2 va Naked</t>
  </si>
  <si>
    <t>⚠️ Borderline</t>
  </si>
  <si>
    <t>Score re-scored to +66 — still positive, submittable</t>
  </si>
  <si>
    <t>IS 1.78, Fit 1.12. Max corr 0.6173 vs MC3. Score change +141. New family.</t>
  </si>
  <si>
    <t>-rank(ts_rank(mdl177_2_vma2_vma2_va,252))</t>
  </si>
  <si>
    <t>TTM FCF/Price TOP500 (new link)</t>
  </si>
  <si>
    <t>Score +552 — highest in queue. Corr 0.3592 vs DV5. Submit May 10.</t>
  </si>
  <si>
    <t>TTM OCF/EV TOP500 (new link)</t>
  </si>
  <si>
    <t>Score +340. Corr 0.5456 vs M6. Submit May 11.</t>
  </si>
  <si>
    <t>T1K-3</t>
  </si>
  <si>
    <t>TTM FCF/Price TOP1000 (clean corr)</t>
  </si>
  <si>
    <t>Corr 0.7178 vs NEW-5b — above 0.70 cutoff</t>
  </si>
  <si>
    <t>Score +284. Corr 0.5816 vs DV5 — passes. Submit May 12.</t>
  </si>
  <si>
    <t>NEW-7b</t>
  </si>
  <si>
    <t>PDY 126w TOP500 (new link)</t>
  </si>
  <si>
    <t>Score change -8 — negative, reject permanently</t>
  </si>
  <si>
    <t>Score +156. Corr 0.4271 vs DV2c. Submit May 14.</t>
  </si>
  <si>
    <t>RV-1b</t>
  </si>
  <si>
    <t>Score +66. Corr 0.4903 vs DV2c. Same signal as RV-3 — submit one. Submit May 15.</t>
  </si>
  <si>
    <t>NEW-9b</t>
  </si>
  <si>
    <t>NEY TOP500 (new link)</t>
  </si>
  <si>
    <t>Score +50. Corr 0.6490 vs M15b — borderline but passes. Submit May 16.</t>
  </si>
  <si>
    <t>Alt-1</t>
  </si>
  <si>
    <t>DeepValue ttmfcfp_alt × Momentum</t>
  </si>
  <si>
    <t>Corr 0.5458 vs M6. Score +27. Survivor of _alt family.</t>
  </si>
  <si>
    <t>-rank(ts_rank(mdl177_deepvaluefactor_ttmfcfp_alt,252)*rank(ts_delta(close,21)))</t>
  </si>
  <si>
    <t>Alt-2</t>
  </si>
  <si>
    <t>GARP vfpriceratio_2 × Momentum</t>
  </si>
  <si>
    <t>Self-Corr + Neg Score</t>
  </si>
  <si>
    <t>Corr 0.8286 vs DV2c. Score -10. Dead.</t>
  </si>
  <si>
    <t>-rank(ts_rank(mdl177_2_garpanalystmodel_qgp_vfpriceratio,252)*rank(ts_delta(close,21)))</t>
  </si>
  <si>
    <t>Alt-3</t>
  </si>
  <si>
    <t>GARP vfpriceratio_2 Naked</t>
  </si>
  <si>
    <t>Self-Corr</t>
  </si>
  <si>
    <t>Corr 0.9065 vs MC3 — near-identical alpha. Score +198 but corr kills it.</t>
  </si>
  <si>
    <t>-rank(ts_rank(mdl177_2_garpanalystmodel_qgp_vfpriceratio,252))</t>
  </si>
  <si>
    <t>Alt-4</t>
  </si>
  <si>
    <t>DeepValue ttmocfp_alt Naked</t>
  </si>
  <si>
    <t>Corr 0.8973 vs M6. Dead.</t>
  </si>
  <si>
    <t>-rank(ts_rank(mdl177_deepvaluefactor_ttmocfp_alt,252))</t>
  </si>
  <si>
    <t>Alt-5</t>
  </si>
  <si>
    <t>DeepValue ttmfcfp_alt Naked</t>
  </si>
  <si>
    <t>Corr 0.9956 vs DV5. Essentially identical.</t>
  </si>
  <si>
    <t>-rank(ts_rank(mdl177_deepvaluefactor_ttmfcfp_alt,252))</t>
  </si>
  <si>
    <t>Alt-6</t>
  </si>
  <si>
    <t>DeepValue ttmocfp_alt × Momentum</t>
  </si>
  <si>
    <t>Neg Score</t>
  </si>
  <si>
    <t>Max corr 0.7014 vs M15b. Score -143. Dead.</t>
  </si>
  <si>
    <t>-rank(ts_rank(mdl177_deepvaluefactor_ttmocfp_alt,252)*rank(ts_delta(close,21)))</t>
  </si>
  <si>
    <t>Alt-7</t>
  </si>
  <si>
    <t>DeepValue estep_alt × Momentum</t>
  </si>
  <si>
    <t>Corr 0.9955 vs DV2c. Score -83. Dead.</t>
  </si>
  <si>
    <t>-rank(ts_rank(mdl177_deepvaluefactor_estep_alt,252)*rank(ts_delta(close,21)))</t>
  </si>
  <si>
    <t>Alt-8</t>
  </si>
  <si>
    <t>DeepValue fwdep_alt × Momentum</t>
  </si>
  <si>
    <t>Score -83. Dead.</t>
  </si>
  <si>
    <t>-rank(ts_rank(mdl177_deepvaluefactor_fwdep_alt,252)*rank(ts_delta(close,21)))</t>
  </si>
  <si>
    <t>T2K-1</t>
  </si>
  <si>
    <t>RelValue ttmfcfp_2 × Momentum TOP500</t>
  </si>
  <si>
    <t>⚠️ Duplicate</t>
  </si>
  <si>
    <t>Same as T5K-2</t>
  </si>
  <si>
    <t>Identical to T5K-2. Different prefix, same stats. Submit T5K-2 instead.</t>
  </si>
  <si>
    <t>T5K-2</t>
  </si>
  <si>
    <t>RelValue ttmfcfp × Momentum TOP500</t>
  </si>
  <si>
    <t>Corr 0.4892 vs New-5. Score +67. Clean — SUBMIT.</t>
  </si>
  <si>
    <t>T5K-3</t>
  </si>
  <si>
    <t>GARP vfpriceratio Naked TOP500</t>
  </si>
  <si>
    <t>Marginal Score</t>
  </si>
  <si>
    <t>Corr 0.6914 vs MC3 TOP3000. Score only +7. Skipped — too small.</t>
  </si>
  <si>
    <t>T5K-4</t>
  </si>
  <si>
    <t>VMA2 va Naked TOP500</t>
  </si>
  <si>
    <t>Fitness 0.91 &lt; 1.00 cutoff</t>
  </si>
  <si>
    <t>Corr 0.5027 vs New-5. Score +182. Clean — SUBMIT.</t>
  </si>
  <si>
    <t>T5K-5</t>
  </si>
  <si>
    <t>DeepValue ttmfcfev × Momentum TOP500</t>
  </si>
  <si>
    <t>Sharpe 1.06 &lt; 1.25 AND score -304 — dead</t>
  </si>
  <si>
    <t>Corr 0.5668 vs New-5. Score +124. NOTE: variable is ttmfcfev (not ttmfcev).</t>
  </si>
  <si>
    <t>-rank(ts_rank(mdl177_2_deepvaluefactor_ttmfcfev,252)*rank(ts_delta(close,21)))</t>
  </si>
  <si>
    <t>ZY2OXdKQ</t>
  </si>
  <si>
    <t>5yr RelValue rel5ybp TOP500</t>
  </si>
  <si>
    <t>May 12, 2026</t>
  </si>
  <si>
    <t>Agent Round 2 find. Score +238, corr 0.55 vs submitted. Clean.</t>
  </si>
  <si>
    <t>-rank(ts_rank(mdl177_2_5yearrelativevaluefactor_rel5ybp,252))</t>
  </si>
  <si>
    <t>MPKN7bXr</t>
  </si>
  <si>
    <t>DeepValue PDY TOP500</t>
  </si>
  <si>
    <t>May 17, 2026</t>
  </si>
  <si>
    <t>Agent Round 3 find. Score +37, corr 0.35 vs submitted. Clean.</t>
  </si>
  <si>
    <t>-rank(ts_rank(mdl177_2_deepvaluefactor_pdy,252))</t>
  </si>
  <si>
    <t>88OmvPOl</t>
  </si>
  <si>
    <t>indrelcroe_ SUBIND d6 TOP3000</t>
  </si>
  <si>
    <t>⚠️ Near-Miss</t>
  </si>
  <si>
    <t>Fitness 0.98 &lt; 1.00 — in d1v5</t>
  </si>
  <si>
    <t>Agent R10. CLOSEST near-miss. Fitness 0.02 short. d1v5 tests INDUSTRY/MARKET/TOP200.</t>
  </si>
  <si>
    <t>-rank(ts_rank(mdl177_2_managementqualityfactor_indrelcroe_,252))</t>
  </si>
  <si>
    <t>3qEMa3vQ</t>
  </si>
  <si>
    <t>deepvalue pdy_alt d6 TOP3000</t>
  </si>
  <si>
    <t>Fitness 0.93 &lt; 1.00</t>
  </si>
  <si>
    <t>Agent R10. Score +65. In d1v5.</t>
  </si>
  <si>
    <t>-rank(ts_rank(mdl177_deepvaluefactor_pdy_alt,252))</t>
  </si>
  <si>
    <t>d5EvEpZY</t>
  </si>
  <si>
    <t>deepvalue estep_alt d6 TOP3000</t>
  </si>
  <si>
    <t>Fitness 0.91 &lt; 1.00</t>
  </si>
  <si>
    <t>Agent R10. Score +48. In d1v5.</t>
  </si>
  <si>
    <t>-rank(ts_rank(mdl177_deepvaluefactor_estep_alt,252))</t>
  </si>
  <si>
    <t>npZrOlA8</t>
  </si>
  <si>
    <t>deepvalue fwdep_alt d6 TOP3000</t>
  </si>
  <si>
    <t>Fitness 0.90 &lt; 1.00</t>
  </si>
  <si>
    <t>Agent R10. Score +43. In d1v5.</t>
  </si>
  <si>
    <t>-rank(ts_rank(mdl177_deepvaluefactor_fwdep_alt,252))</t>
  </si>
  <si>
    <t>j29qAYMW</t>
  </si>
  <si>
    <t>deepvalue fwdep d6 TOP3000</t>
  </si>
  <si>
    <t>Sharpe 1.23 + Fitness 0.87</t>
  </si>
  <si>
    <t>Agent R10. Score +41. In d1v5.</t>
  </si>
  <si>
    <t>e7nobL6O</t>
  </si>
  <si>
    <t>FANGMA VMM11 ts_rank TOP3000</t>
  </si>
  <si>
    <t>✅ Submittable</t>
  </si>
  <si>
    <t>Agent d1v9 find. FANGMA VMM11 ts_rank. Corr 0.5423. Score TBC — check platform before May 15.</t>
  </si>
  <si>
    <t>-rank(ts_rank(mdl177_fangma_vmm_usa_fangma_vmm11,252))</t>
  </si>
  <si>
    <t>npnMdNNz</t>
  </si>
  <si>
    <t>FANGMA VMM11 ts_zscore TOP3000</t>
  </si>
  <si>
    <t>May 13, 2026</t>
  </si>
  <si>
    <t>Agent d1v9 find. FANGMA VMM11 ts_zscore. Corr 0.5772. Score +396 (8130→8526). Submitted May 13.</t>
  </si>
  <si>
    <t>-rank(ts_zscore(mdl177_fangma_vmm_usa_fangma_vmm11,252))</t>
  </si>
  <si>
    <t>E5qJ5qr0</t>
  </si>
  <si>
    <t>ShortSentiment days_to_cover ts_rank TOP3000</t>
  </si>
  <si>
    <t>Agent d1v9b find. days_to_cover ts_rank. Corr 0.3589. Score TBC — check platform before May 16.</t>
  </si>
  <si>
    <t>-rank(ts_rank(mdl177_5shortsentimentfactor_days_to_cover,252))</t>
  </si>
  <si>
    <t>rKbXPMe8</t>
  </si>
  <si>
    <t>FANGMA VMM11 ts_rank TOP500 d6</t>
  </si>
  <si>
    <t>Fitness 0.53 + High TO</t>
  </si>
  <si>
    <t>Tune result. High TO 33% kills fitness.</t>
  </si>
  <si>
    <t>MPboapJz</t>
  </si>
  <si>
    <t>FANGMA VMM11 ts_rank TOP500 pass=5</t>
  </si>
  <si>
    <t>Passed=5 &lt; 6</t>
  </si>
  <si>
    <t>Tune result. Only 5/7 checks passed.</t>
  </si>
  <si>
    <t>mLq9VGZ1</t>
  </si>
  <si>
    <t>FANGMA VMM11 ts_rank TOP3000 high-TO</t>
  </si>
  <si>
    <t>Fitness 0.70 + High TO 29%</t>
  </si>
  <si>
    <t>Tune result. Turnover too high for fitness.</t>
  </si>
  <si>
    <t>zq5pvm6d</t>
  </si>
  <si>
    <t>ShortSentiment onloan_conc ts_rank TOP3000</t>
  </si>
  <si>
    <t>Negative Sharpe</t>
  </si>
  <si>
    <t>d1v9b. Dead signal — negative sharpe.</t>
  </si>
  <si>
    <t>-rank(ts_rank(mdl177_5shortsentimentfactor_onloan_conc,252))</t>
  </si>
  <si>
    <t>vR5gKOma</t>
  </si>
  <si>
    <t>ShortSentiment sht_int ts_rank TOP3000</t>
  </si>
  <si>
    <t>Sharpe 0.54 — Dead Signal</t>
  </si>
  <si>
    <t>d1v9b. Signal too weak.</t>
  </si>
  <si>
    <t>-rank(ts_rank(mdl177_5shortsentimentfactor_sht_int,252))</t>
  </si>
  <si>
    <t>9q90GOld</t>
  </si>
  <si>
    <t>FANGMA VMM11 ts_rank TOP200</t>
  </si>
  <si>
    <t>TOP200</t>
  </si>
  <si>
    <t>🔥 BEST SCORE EVER +639. Agent find. FANGMA VMM11 ts_rank TOP200. Corr 0.2451 — cleanest corr found. Submit ASAP.</t>
  </si>
  <si>
    <t>YPNdA56w</t>
  </si>
  <si>
    <t>IndRelVal curindocfp_ ts_rank</t>
  </si>
  <si>
    <t>Fitness 0.85 &lt; 1.00</t>
  </si>
  <si>
    <t>d1v10. industryrrelativevaluefactor. Best of batch but fitness still sub-1.</t>
  </si>
  <si>
    <t>-rank(ts_rank(mdl177_2_industryrrelativevaluefactor_curindocfp_,252))</t>
  </si>
  <si>
    <t>E5qAKRmR</t>
  </si>
  <si>
    <t>IndRelVal curindocfp_ ts_zscore</t>
  </si>
  <si>
    <t>Fitness 0.86 &lt; 1.00</t>
  </si>
  <si>
    <t>d1v10. industryrrelativevaluefactor. Fitness &lt; 1.00 — dead family.</t>
  </si>
  <si>
    <t>-rank(ts_zscore(mdl177_2_industryrrelativevaluefactor_curindocfp_,252))</t>
  </si>
  <si>
    <t>E5qJEAZr</t>
  </si>
  <si>
    <t>IndRelVal curindfcfp_ ts_zscore</t>
  </si>
  <si>
    <t>Fitness 0.50 &lt; 1.00</t>
  </si>
  <si>
    <t>d1v10. industryrrelativevaluefactor dead.</t>
  </si>
  <si>
    <t>-rank(ts_zscore(mdl177_2_industryrrelativevaluefactor_curindfcfp_,252))</t>
  </si>
  <si>
    <t>3qEL7mq6</t>
  </si>
  <si>
    <t>IndRelVal curindfcfp_ ts_rank</t>
  </si>
  <si>
    <t>Fitness 0.51 &lt; 1.00</t>
  </si>
  <si>
    <t>-rank(ts_rank(mdl177_2_industryrrelativevaluefactor_curindfcfp_,252))</t>
  </si>
  <si>
    <t>wp5glJn2</t>
  </si>
  <si>
    <t>IndRelVal curindfwdep_ ts_zscore</t>
  </si>
  <si>
    <t>Fitness 0.52 &lt; 1.00</t>
  </si>
  <si>
    <t>-rank(ts_zscore(mdl177_2_industryrrelativevaluefactor_curindfwdep_,252))</t>
  </si>
  <si>
    <t>9q90r13q</t>
  </si>
  <si>
    <t>IndRelVal curindfwdep_ ts_rank</t>
  </si>
  <si>
    <t>Fitness 0.62 &lt; 1.00</t>
  </si>
  <si>
    <t>-rank(ts_rank(mdl177_2_industryrrelativevaluefactor_curindfwdep_,252))</t>
  </si>
  <si>
    <t>le7Z0G0n</t>
  </si>
  <si>
    <t>IndRelVal curindcfp_ ts_zscore</t>
  </si>
  <si>
    <t>Fitness 0.08 &lt; 1.00</t>
  </si>
  <si>
    <t>-rank(ts_zscore(mdl177_2_industryrrelativevaluefactor_curindcfp_,252))</t>
  </si>
  <si>
    <t>78x9w535</t>
  </si>
  <si>
    <t>IndRelVal curindcfp_ ts_rank</t>
  </si>
  <si>
    <t>Fitness 0.07 &lt; 1.00</t>
  </si>
  <si>
    <t>-rank(ts_rank(mdl177_2_industryrrelativevaluefactor_curindcfp_,252))</t>
  </si>
  <si>
    <t>Field</t>
  </si>
  <si>
    <t>Category</t>
  </si>
  <si>
    <t>Signal Strength</t>
  </si>
  <si>
    <t>close</t>
  </si>
  <si>
    <t>Daily closing price</t>
  </si>
  <si>
    <t>Price-Volume</t>
  </si>
  <si>
    <t>✅ In Use</t>
  </si>
  <si>
    <t>Strong</t>
  </si>
  <si>
    <t>Foundation of all PV signals. 60% TO ceiling as primary.</t>
  </si>
  <si>
    <t>volume</t>
  </si>
  <si>
    <t>Daily trading volume</t>
  </si>
  <si>
    <t>Use as ts_rank for robustness. High TO when primary.</t>
  </si>
  <si>
    <t>returns</t>
  </si>
  <si>
    <t>Daily returns</t>
  </si>
  <si>
    <t>Used in vol calculations and momentum signals.</t>
  </si>
  <si>
    <t>high</t>
  </si>
  <si>
    <t>Daily high price</t>
  </si>
  <si>
    <t>Used in CLV and range calculations.</t>
  </si>
  <si>
    <t>low</t>
  </si>
  <si>
    <t>Daily low price</t>
  </si>
  <si>
    <t>open</t>
  </si>
  <si>
    <t>Daily open price</t>
  </si>
  <si>
    <t>vwap</t>
  </si>
  <si>
    <t>Volume-weighted average price</t>
  </si>
  <si>
    <t>⚪ Backlog</t>
  </si>
  <si>
    <t>Weak</t>
  </si>
  <si>
    <t>60% TO ceiling blocks Fitness. Signal exists.</t>
  </si>
  <si>
    <t>adv20</t>
  </si>
  <si>
    <t>Average daily volume over 20 days</t>
  </si>
  <si>
    <t>Better as normalizer than primary signal. 85% TO as primary.</t>
  </si>
  <si>
    <t>current_ratio</t>
  </si>
  <si>
    <t>Current Ratio</t>
  </si>
  <si>
    <t>Fundamental</t>
  </si>
  <si>
    <t>Liquidity-based. Works because not COVID-distorted. Delay 1 only.</t>
  </si>
  <si>
    <t>sales_ps</t>
  </si>
  <si>
    <t>Sales per Share (Quarterly)</t>
  </si>
  <si>
    <t>Template alpha. Best fundamental found. No COVID distortion.</t>
  </si>
  <si>
    <t>scl12_buzz</t>
  </si>
  <si>
    <t>relative sentiment volume</t>
  </si>
  <si>
    <t>Social Media</t>
  </si>
  <si>
    <t>❌ Abandoned</t>
  </si>
  <si>
    <t>A26 family abandoned. 3 fix variants all failed. Fitness ceiling 0.56.</t>
  </si>
  <si>
    <t>snt_buzz</t>
  </si>
  <si>
    <t>Negative relative sentiment volume measure for current day, with missing values filled as 0</t>
  </si>
  <si>
    <t>Dead</t>
  </si>
  <si>
    <t>Signal inverted. 10+ variants tested. IS Fitness ceiling 0.98. Permanently exhausted. Do not revisit.</t>
  </si>
  <si>
    <t>snt_buzz_bfl</t>
  </si>
  <si>
    <t>Negative relative sentiment volume measure for current day, with missing values filled as 1</t>
  </si>
  <si>
    <t>Negative IS Sharpe in all variants. Dead signal.</t>
  </si>
  <si>
    <t>scl12_sentiment</t>
  </si>
  <si>
    <t>sentiment</t>
  </si>
  <si>
    <t>86% TO creates mathematical Fitness ceiling. IS Fitness 0.08 naked. Abandoned Session 11.</t>
  </si>
  <si>
    <t>snt_value</t>
  </si>
  <si>
    <t>Negative sentiment score/indicator for current day, with missing values filled as 0</t>
  </si>
  <si>
    <t>Confirmed dead (negative Sharpe both signs). Previously listed as Z3 — reclassified to Z5 (skip if quota is limited). Do not re-queue.</t>
  </si>
  <si>
    <t>snt1_d1_stockrank</t>
  </si>
  <si>
    <t>Rank (0-100) based on equity-style factors, where higher values reflect a stronger buy signal and lower values a sell signal</t>
  </si>
  <si>
    <t>Sentiment / Analyst</t>
  </si>
  <si>
    <t>Two-test exhausted: naked failed 2021/2022, A4 template also failed. Abandoned Session 11.</t>
  </si>
  <si>
    <t>implied_volatility_call_60</t>
  </si>
  <si>
    <t>Implied volatility of the at-the-money call for the stock with an expiration 60 calendar days from the measurement date</t>
  </si>
  <si>
    <t>Options - Volatility</t>
  </si>
  <si>
    <t>🟠 Test Soon</t>
  </si>
  <si>
    <t>Medium</t>
  </si>
  <si>
    <t>IV filter confirmed at &gt;0.3. Need new uncorrelated inner signal.</t>
  </si>
  <si>
    <t>snt_social_value</t>
  </si>
  <si>
    <t>Z-score of sentiment</t>
  </si>
  <si>
    <t>Negative both signs. Abandoned Session 11.</t>
  </si>
  <si>
    <t>snt_social_volume</t>
  </si>
  <si>
    <t>Normalized tweet volume</t>
  </si>
  <si>
    <t>Duplicate result with snt_value confirmed dead. Abandoned Session 11.</t>
  </si>
  <si>
    <t>scl12_buzzvec</t>
  </si>
  <si>
    <t>Vector representing the volume of social media sentiment/mentions related to the instrument</t>
  </si>
  <si>
    <t>snt_buzz_ret</t>
  </si>
  <si>
    <t>negative return of relative sentiment volume</t>
  </si>
  <si>
    <t>scl12_sentvec</t>
  </si>
  <si>
    <t>Vector representing the sentiment score (bullish/bearish/neutral) derived from social media data for the instrument</t>
  </si>
  <si>
    <t>scl12_typevec</t>
  </si>
  <si>
    <t>Vector containing the type indices identifying the categories of instruments in the dataset</t>
  </si>
  <si>
    <t>scl12_alltype_buzzvec</t>
  </si>
  <si>
    <t>sentiment volume</t>
  </si>
  <si>
    <t>snt_value_fast_d1</t>
  </si>
  <si>
    <t>snt_buzz_fast_d1</t>
  </si>
  <si>
    <t>scl12_sentiment_fast_d1</t>
  </si>
  <si>
    <t>scl12_buzz_fast_d1</t>
  </si>
  <si>
    <t>snt_buzz_bfl_fast_d1</t>
  </si>
  <si>
    <t>scl12_alltype_sentvec</t>
  </si>
  <si>
    <t>scl12_alltype_typevec</t>
  </si>
  <si>
    <t>instrument type index</t>
  </si>
  <si>
    <t>snt_buzz_ret_fast_d1</t>
  </si>
  <si>
    <t>snt1_d1_analystcoverage</t>
  </si>
  <si>
    <t>Number of analysts providing an earnings estimate for the stock</t>
  </si>
  <si>
    <t>snt1_d1_netrecpercent</t>
  </si>
  <si>
    <t>Percentage difference between analysts recommending buy and those recommending sell, divided by total number of analysts</t>
  </si>
  <si>
    <t>snt1_cored1_score</t>
  </si>
  <si>
    <t>Proprietary composite analyst score; bearish if &lt; 5, bullish if &gt; 5, neutral if between -5 and 5</t>
  </si>
  <si>
    <t>snt1_d1_downtargetpercent</t>
  </si>
  <si>
    <t>Percent of analysts who have lowered their price target recently, out of all analysts covering the stock</t>
  </si>
  <si>
    <t>snt1_d1_earningsrevision</t>
  </si>
  <si>
    <t>One-month change in the mean (average) analyst earnings estimate divided by the stock price</t>
  </si>
  <si>
    <t>snt1_d1_dtstsespe</t>
  </si>
  <si>
    <t>Standard deviation (dispersion) among analysts' earnings estimates for the next fiscal year</t>
  </si>
  <si>
    <t>snt1_d1_nettargetpercent</t>
  </si>
  <si>
    <t>Net percentage of analysts raising minus lowering price targets, divided by total number of analysts</t>
  </si>
  <si>
    <t>snt1_d1_earningssurprise</t>
  </si>
  <si>
    <t>Difference between actual reported earnings and expected earnings (consensus), divided by share price</t>
  </si>
  <si>
    <t>snt1_d1_buyrecpercent</t>
  </si>
  <si>
    <t>Percentage of analysts recommending a buy, calculated as (# of analysts recommending buy) / (# of all analysts)</t>
  </si>
  <si>
    <t>snt1_d1_fundamentalfocusrank</t>
  </si>
  <si>
    <t>Rank (0-100) emphasizing longer-term, fundamental/value metrics; higher values for buy signal, lower for sell signal</t>
  </si>
  <si>
    <t>snt1_d1_sellrecpercent</t>
  </si>
  <si>
    <t>Percentage of analysts recommending a sell, calculated as (# of analysts recommending sell) / (# of all analysts)</t>
  </si>
  <si>
    <t>snt1_d1_uptargetpercent</t>
  </si>
  <si>
    <t>Percent of analysts who have increased their price target recently, out of all analysts covering the stock</t>
  </si>
  <si>
    <t>snt1_d1_longtermepsgrowthest</t>
  </si>
  <si>
    <t>Median expected long-term (3-5 years) growth rate in operating earnings as forecasted by analysts</t>
  </si>
  <si>
    <t>snt1_d1_earningstorpedo</t>
  </si>
  <si>
    <t>Difference between expected (FY1) earnings and previous four quarters' actual earnings divided by price; flags possible negative inflection</t>
  </si>
  <si>
    <t>snt1_d1_netearningsrevision</t>
  </si>
  <si>
    <t>Net percentage of analysts raising minus lowering earnings estimates, out of total analysts covering the stock</t>
  </si>
  <si>
    <t>snt1_d1_dynamicfocusrank</t>
  </si>
  <si>
    <t>Composite rank (0-100) emphasizing dynamic, short-term analyst sentiment signals; higher values indicate stronger buy signals, lower values indicate sell signals</t>
  </si>
  <si>
    <t>implied_volatility_call_270</t>
  </si>
  <si>
    <t>Implied volatility of the at-the-money call for the stock with an expiration 270 calendar days from the measurement date</t>
  </si>
  <si>
    <t>implied_volatility_put_270</t>
  </si>
  <si>
    <t>Implied volatility of the at-the-money put for the stock with an expiration 270 calendar days from the measurement date</t>
  </si>
  <si>
    <t>implied_volatility_call_120</t>
  </si>
  <si>
    <t>Implied volatility of the at-the-money call for the stock with an expiration 120 calendar days from the measurement date</t>
  </si>
  <si>
    <t>implied_volatility_call_1080</t>
  </si>
  <si>
    <t>Implied volatility of the at-the-money call for the stock with an expiration 1080 calendar days from the measurement date</t>
  </si>
  <si>
    <t>implied_volatility_mean_10</t>
  </si>
  <si>
    <t>The average of IvCall10 and IvPut10</t>
  </si>
  <si>
    <t>implied_volatility_call_180</t>
  </si>
  <si>
    <t>Implied volatility of the at-the-money call for the stock with an expiration 180 calendar days from the measurement date</t>
  </si>
  <si>
    <t>implied_volatility_put_120</t>
  </si>
  <si>
    <t>At-the-money implied volatility of put options with 120 calendar days to expiration, annualized decimal</t>
  </si>
  <si>
    <t>implied_volatility_put_180</t>
  </si>
  <si>
    <t>At-the-money implied volatility of put options with 180 calendar days to expiration, annualized decimal</t>
  </si>
  <si>
    <t>implied_volatility_call_150</t>
  </si>
  <si>
    <t>Implied volatility of the at-the-money call for the stock with an expiration 150 calendar days from the measurement date</t>
  </si>
  <si>
    <t>implied_volatility_call_10</t>
  </si>
  <si>
    <t>Implied volatility of the at-the-money call for the stock with an expiration 10 calendar days from the measurement date</t>
  </si>
  <si>
    <t>historical_volatility_180</t>
  </si>
  <si>
    <t>Historical close-to-close volatility for approximately 180 calendar days</t>
  </si>
  <si>
    <t>parkinson_volatility_120</t>
  </si>
  <si>
    <t>Historical Parkinson volatility for approximately 120 calendar days</t>
  </si>
  <si>
    <t>implied_volatility_put_60</t>
  </si>
  <si>
    <t>Implied volatility of the at-the-money put for the stock with an expiration 60 calendar days from the measurement date</t>
  </si>
  <si>
    <t>implied_volatility_call_30</t>
  </si>
  <si>
    <t>Implied volatility of the at-the-money call for the stock with an expiration 30 calendar days from the measurement date</t>
  </si>
  <si>
    <t>historical_volatility_120</t>
  </si>
  <si>
    <t>Historical close-to-close volatility for approximately 120 calendar days</t>
  </si>
  <si>
    <t>implied_volatility_put_150</t>
  </si>
  <si>
    <t>At-the-money implied volatility of put options with 150 calendar days to expiration, annualized decimal</t>
  </si>
  <si>
    <t>implied_volatility_call_90</t>
  </si>
  <si>
    <t>Implied volatility of the at-the-money call for the stock with an expiration 90 calendar days from the measurement date</t>
  </si>
  <si>
    <t>implied_volatility_call_360</t>
  </si>
  <si>
    <t>Implied volatility of the at-the-money call for the stock with an expiration 360 calendar days from the measurement date</t>
  </si>
  <si>
    <t>implied_volatility_mean_120</t>
  </si>
  <si>
    <t>The average of IvCall120 and IvPut120</t>
  </si>
  <si>
    <t>implied_volatility_put_90</t>
  </si>
  <si>
    <t>Implied volatility of the at-the-money put for the stock with an expiration 90 calendar days from the measurement date</t>
  </si>
  <si>
    <t>implied_volatility_call_720</t>
  </si>
  <si>
    <t>Implied volatility of the at-the-money call for the stock with an expiration 720 calendar days from the measurement date</t>
  </si>
  <si>
    <t>implied_volatility_put_30</t>
  </si>
  <si>
    <t>Implied volatility of the at-the-money put for the stock with an expiration 30 calendar days from the measurement date</t>
  </si>
  <si>
    <t>parkinson_volatility_180</t>
  </si>
  <si>
    <t>Historical Parkinson volatility for approximately 180 calendar days</t>
  </si>
  <si>
    <t>implied_volatility_put_360</t>
  </si>
  <si>
    <t>Implied volatility of the at-the-money put for the stock with an expiration 360 calendar days from the measurement date</t>
  </si>
  <si>
    <t>historical_volatility_10</t>
  </si>
  <si>
    <t>Historical close-to-close volatility for approximately 10 calendar days</t>
  </si>
  <si>
    <t>implied_volatility_put_10</t>
  </si>
  <si>
    <t>At-the-money implied volatility of put options with 10 calendar days to expiration, annualized decimal</t>
  </si>
  <si>
    <t>historical_volatility_60</t>
  </si>
  <si>
    <t>Historical close-to-close volatility for approximately 60 calendar days</t>
  </si>
  <si>
    <t>implied_volatility_put_720</t>
  </si>
  <si>
    <t>Implied volatility of the at-the-money put for the stock with an expiration 720 calendar days from the measurement date</t>
  </si>
  <si>
    <t>historical_volatility_150</t>
  </si>
  <si>
    <t>Historical close-to-close volatility for approximately 150 calendar days</t>
  </si>
  <si>
    <t>implied_volatility_call_20</t>
  </si>
  <si>
    <t>Implied volatility of the at-the-money call for the stock with an expiration 20 calendar days from the measurement date</t>
  </si>
  <si>
    <t>implied_volatility_put_1080</t>
  </si>
  <si>
    <t>At-the-money implied volatility of put options with 1080 calendar days to expiration, annualized decimal</t>
  </si>
  <si>
    <t>implied_volatility_mean_180</t>
  </si>
  <si>
    <t>The average of IvCall180 and IvPut180</t>
  </si>
  <si>
    <t>historical_volatility_90</t>
  </si>
  <si>
    <t>Historical close-to-close volatility for approximately 90 calendar days</t>
  </si>
  <si>
    <t>implied_volatility_mean_150</t>
  </si>
  <si>
    <t>The average of IvCall150 and IvPut150</t>
  </si>
  <si>
    <t>parkinson_volatility_90</t>
  </si>
  <si>
    <t>Historical volatility using the Parkinson high-low estimator over approximately the past 90 calendar days</t>
  </si>
  <si>
    <t>parkinson_volatility_150</t>
  </si>
  <si>
    <t>Historical Parkinson volatility for approximately 150 calendar days</t>
  </si>
  <si>
    <t>historical_volatility_30</t>
  </si>
  <si>
    <t>Historical close-to-close volatility for approximately 30 calendar days</t>
  </si>
  <si>
    <t>parkinson_volatility_60</t>
  </si>
  <si>
    <t>Historical volatility using the Parkinson high-low estimator over approximately the past 60 calendar days</t>
  </si>
  <si>
    <t>historical_volatility_20</t>
  </si>
  <si>
    <t>Historical close-to-close volatility for approximately 20 calendar days</t>
  </si>
  <si>
    <t>parkinson_volatility_10</t>
  </si>
  <si>
    <t>Historical Parkinson volatility for approximately 10 calendar days</t>
  </si>
  <si>
    <t>implied_volatility_put_20</t>
  </si>
  <si>
    <t>At-the-money implied volatility of put options with 20 calendar days to expiration, annualized decimal</t>
  </si>
  <si>
    <t>implied_volatility_mean_90</t>
  </si>
  <si>
    <t>The average of IvCall90 and IvPut90</t>
  </si>
  <si>
    <t>parkinson_volatility_20</t>
  </si>
  <si>
    <t>Historical volatility using the Parkinson high-low estimator over approximately the past 20 calendar days</t>
  </si>
  <si>
    <t>implied_volatility_mean_60</t>
  </si>
  <si>
    <t>The average of IvCall60 and IvPut60</t>
  </si>
  <si>
    <t>parkinson_volatility_30</t>
  </si>
  <si>
    <t>Historical volatility using the Parkinson high-low estimator over approximately the past 30 calendar days</t>
  </si>
  <si>
    <t>implied_volatility_mean_skew_360</t>
  </si>
  <si>
    <t>Skew steepness for the implied volatility duration of 360 calendar days by subtracting the mean implied volatility of the call and put options with strikes at 110% of the money from the mean implied volatility of the call and put options with strikes at 90% of the money</t>
  </si>
  <si>
    <t>implied_volatility_mean_skew_90</t>
  </si>
  <si>
    <t>Skew steepness for the implied volatility duration of 90 calendar days by subtracting the mean implied volatility of the call and put options with strikes at 110% of the money from the mean implied volatility of the call and put options with strikes at 90% of the money</t>
  </si>
  <si>
    <t>implied_volatility_mean_30</t>
  </si>
  <si>
    <t>The average of IvCall30 and IvPut30</t>
  </si>
  <si>
    <t>implied_volatility_mean_360</t>
  </si>
  <si>
    <t>The average of IvCall360 and IvPut360</t>
  </si>
  <si>
    <t>implied_volatility_mean_skew_1080</t>
  </si>
  <si>
    <t>Skew steepness for the implied volatility duration of 1080 calendar days by subtracting the mean implied volatility of the call and put options with strikes at 110% of the money from the mean implied volatility of the call and put options with strikes at 90% of the money</t>
  </si>
  <si>
    <t>implied_volatility_mean_20</t>
  </si>
  <si>
    <t>The average of IvCall20 and IvPut20</t>
  </si>
  <si>
    <t>implied_volatility_mean_1080</t>
  </si>
  <si>
    <t>The average of IvCall1080 and IvPut1080</t>
  </si>
  <si>
    <t>implied_volatility_mean_720</t>
  </si>
  <si>
    <t>The average of IvCall720 and IvPut720</t>
  </si>
  <si>
    <t>implied_volatility_mean_skew_180</t>
  </si>
  <si>
    <t>Skew steepness for the implied volatility duration of 180 calendar days by subtracting the mean implied volatility of the call and put options with strikes at 110% of the money from the mean implied volatility of the call and put options with strikes at 90% of the money</t>
  </si>
  <si>
    <t>implied_volatility_mean_270</t>
  </si>
  <si>
    <t>The average of IvCall270 and IvPut270</t>
  </si>
  <si>
    <t>implied_volatility_mean_skew_270</t>
  </si>
  <si>
    <t>Skew steepness for the implied volatility duration of 270 calendar days by subtracting the mean implied volatility of the call and put options with strikes at 110% of the money from the mean implied volatility of the call and put options with strikes at 90% of the money</t>
  </si>
  <si>
    <t>implied_volatility_mean_skew_60</t>
  </si>
  <si>
    <t>Skew steepness for the implied volatility duration of 60 calendar days by subtracting the mean implied volatility of the call and put options with strikes at 110% of the money from the mean implied volatility of the call and put options with strikes at 90% of the money</t>
  </si>
  <si>
    <t>implied_volatility_mean_skew_720</t>
  </si>
  <si>
    <t>Skew steepness for the implied volatility duration of 720 calendar days by subtracting the mean implied volatility of the call and put options with strikes at 110% of the money from the mean implied volatility of the call and put options with strikes at 90% of the money</t>
  </si>
  <si>
    <t>implied_volatility_mean_skew_30</t>
  </si>
  <si>
    <t>Skew steepness for the implied volatility duration of 30 calendar days by subtracting the mean implied volatility of the call and put options with strikes at 110% of the money from the mean implied volatility of the call and put options with strikes at 90% of the money</t>
  </si>
  <si>
    <t>implied_volatility_mean_skew_120</t>
  </si>
  <si>
    <t>Skew steepness for the implied volatility duration of 120 calendar days by subtracting the mean implied volatility of the call and put options with strikes at 110% of the money from the mean implied volatility of the call and put options with strikes at 90% of the money</t>
  </si>
  <si>
    <t>implied_volatility_mean_skew_150</t>
  </si>
  <si>
    <t>Skew steepness for the implied volatility duration of 150 calendar days by subtracting the mean implied volatility of the call and put options with strikes at 110% of the money from the mean implied volatility of the call and put options with strikes at 90% of the money</t>
  </si>
  <si>
    <t>implied_volatility_mean_skew_10</t>
  </si>
  <si>
    <t>Skew steepness for the implied volatility duration of 10 calendar days by subtracting the mean implied volatility of the call and put options with strikes at 110% of the money from the mean implied volatility of the call and put options with strikes at 90% of the money</t>
  </si>
  <si>
    <t>implied_volatility_mean_skew_20</t>
  </si>
  <si>
    <t>Skew steepness for the implied volatility duration of 20 calendar days by subtracting the mean implied volatility of the call and put options with strikes at 110% of the money from the mean implied volatility of the call and put options with strikes at 90% of the money</t>
  </si>
  <si>
    <t>pcr_oi_270</t>
  </si>
  <si>
    <t>Ratio of put open interest to call open interest for options expiring in 270 days, indicating longer-term position skew</t>
  </si>
  <si>
    <t>Options - Analytics</t>
  </si>
  <si>
    <t>pcr_oi_180</t>
  </si>
  <si>
    <t>Ratio of total put option open interest to call option open interest for options expiring in 180 days, representing longer-term positioning</t>
  </si>
  <si>
    <t>call_breakeven_10</t>
  </si>
  <si>
    <t>Price at which a stock's call options with expiration 10 days in the future break even based on its recent bid/ask mean, weighted by open interest or volume</t>
  </si>
  <si>
    <t>call_breakeven_20</t>
  </si>
  <si>
    <t>Open-interest-weighted average breakeven price of call options expiring in 20 days, representing the price at which call buyers break even</t>
  </si>
  <si>
    <t>pcr_oi_120</t>
  </si>
  <si>
    <t>Ratio of total put option open interest to total call option open interest for options expiring in 120 days, indicating longer-term put-call positioning</t>
  </si>
  <si>
    <t>pcr_oi_10</t>
  </si>
  <si>
    <t>Ratio of put open interest to call open interest for options expiring in 10 days, indicating short-term positioning</t>
  </si>
  <si>
    <t>pcr_oi_150</t>
  </si>
  <si>
    <t>Ratio of total put option open interest to total call option open interest for options expiring in 150 days, indicating longer-term put-call positioning</t>
  </si>
  <si>
    <t>pcr_oi_1080</t>
  </si>
  <si>
    <t>Ratio of put option open interest to call option open interest for stock options in 1080 days, representing longer-term positioning</t>
  </si>
  <si>
    <t>pcr_oi_90</t>
  </si>
  <si>
    <t>Ratio of put open interest to call open interest for options expiring in 90 days, reflecting longer-term positioning</t>
  </si>
  <si>
    <t>call_breakeven_1080</t>
  </si>
  <si>
    <t>Price at which a stock's call options with expiration 1080 days in the future break even based on its recent bid/ask mean.</t>
  </si>
  <si>
    <t>forward_price_10</t>
  </si>
  <si>
    <t>Synthetic forward price for the underlying at 10 days derived from put-call parity using ATM options and adjusted for interest rates and dividends</t>
  </si>
  <si>
    <t>pcr_oi_360</t>
  </si>
  <si>
    <t>Ratio of total put option open interest to call option open interest for options expiring in 360 days</t>
  </si>
  <si>
    <t>call_breakeven_30</t>
  </si>
  <si>
    <t>Open-interest-weighted average breakeven price of call options expiring in 30 days, representing the price at which call buyers break even</t>
  </si>
  <si>
    <t>pcr_oi_60</t>
  </si>
  <si>
    <t>Ratio of put open interest to call open interest for options expiring in 60 days, reflecting medium-to-long term option positioning</t>
  </si>
  <si>
    <t>put_breakeven_10</t>
  </si>
  <si>
    <t>Open interest-weighted mean breakeven price for put options expiring in 10 days, average price at which put buyers break even</t>
  </si>
  <si>
    <t>call_breakeven_120</t>
  </si>
  <si>
    <t>Price at which a stock's call options with expiration 120 days in the future break even based on its recent bid/ask mean, weighted by open interest or volume</t>
  </si>
  <si>
    <t>pcr_oi_all</t>
  </si>
  <si>
    <t>Ratio of total put option open interest to call option open interest aggregated across all option maturities for the stock</t>
  </si>
  <si>
    <t>pcr_oi_30</t>
  </si>
  <si>
    <t>Ratio of put open interest to call open interest for options expiring in 30 days, reflecting medium-term option positioning</t>
  </si>
  <si>
    <t>call_breakeven_180</t>
  </si>
  <si>
    <t>Open-interest-weighted mean breakeven price at which buyers of call options break even for options expiring in 180 days</t>
  </si>
  <si>
    <t>pcr_oi_720</t>
  </si>
  <si>
    <t>Ratio of total put open interest to call option open interest for options expiring in 720 days, indicating very long-term option sentiment</t>
  </si>
  <si>
    <t>put_breakeven_1080</t>
  </si>
  <si>
    <t>Price at which a stock's put options with expiration 1080 days in the future break even based on its recent bid/ask mean</t>
  </si>
  <si>
    <t>forward_price_20</t>
  </si>
  <si>
    <t>Synthetic forward price for the underlying at 20 days derived from put-call parity using ATM options and adjusted for interest rates and dividends</t>
  </si>
  <si>
    <t>option_breakeven_10</t>
  </si>
  <si>
    <t>Open-interest-weighted mean breakeven price at which buyers of calls and puts combined break even for options expiring in 10 days</t>
  </si>
  <si>
    <t>call_breakeven_150</t>
  </si>
  <si>
    <t>Price at which a stock's call options with expiration 150 days in the future break even based on its recent bid/ask mean, weighted by open interest or volume</t>
  </si>
  <si>
    <t>call_breakeven_270</t>
  </si>
  <si>
    <t>Price at which a stock's call options with expiration 270 days in the future break even based on its recent bid/ask mean</t>
  </si>
  <si>
    <t>pcr_oi_20</t>
  </si>
  <si>
    <t>Ratio of put open interest to call open interest on a stock's options with expiration 20 days in the future</t>
  </si>
  <si>
    <t>forward_price_30</t>
  </si>
  <si>
    <t>Synthetic forward price at 30 days expiry, derived from at-the-money call and put options, reflecting market consensus forward expectation</t>
  </si>
  <si>
    <t>option_breakeven_270</t>
  </si>
  <si>
    <t>The weighted mean price at which buyers of call and put options combined break even at 270 days to expiry based on recent bid/ask prices</t>
  </si>
  <si>
    <t>call_breakeven_60</t>
  </si>
  <si>
    <t>Open interest-weighted mean breakeven price for call options expiring in 60 days, showing average price at which call buyers break even</t>
  </si>
  <si>
    <t>call_breakeven_360</t>
  </si>
  <si>
    <t>Weighted mean break-even price of call options expiring in 360 days, based on recent bid/ask prices</t>
  </si>
  <si>
    <t>forward_price_360</t>
  </si>
  <si>
    <t>Synthetic forward price at 360 days derived from put-call parity using ATM call and put prices, reflecting the market-consensus forward expectation of the underlying</t>
  </si>
  <si>
    <t>call_breakeven_720</t>
  </si>
  <si>
    <t>Weighted mean breakeven price of call options expiring in 720 days indicating the price at which call buyers break even</t>
  </si>
  <si>
    <t>pcr_vol_270</t>
  </si>
  <si>
    <t>Ratio of total put options volume to call options volume for contracts expiring 270 days in the future, indicating short-term options flow sentiment at longer tenor</t>
  </si>
  <si>
    <t>forward_price_180</t>
  </si>
  <si>
    <t>Synthetic forward price at 180 days derived from put-call parity using at-the-money calls and puts reflecting market consensus forward expectation</t>
  </si>
  <si>
    <t>forward_price_720</t>
  </si>
  <si>
    <t>Synthetic forward price at 720 days derived from at-the-money call and put options reflecting the market's forward expectation of the underlying security</t>
  </si>
  <si>
    <t>option_breakeven_120</t>
  </si>
  <si>
    <t>Weighted mean breakeven price for combined call and put options with expiration 120 days in the future, based on recent bid/ask mid-prices and weighted by open interest or volume</t>
  </si>
  <si>
    <t>option_breakeven_1080</t>
  </si>
  <si>
    <t>Open-interest-weighted mean breakeven price at which buyers of calls and puts combined break even for options expiring in 1080 days</t>
  </si>
  <si>
    <t>pcr_vol_180</t>
  </si>
  <si>
    <t>Ratio of total put option volume to call option volume for options expiring in 180 days, capturing short-term options flow sentiment</t>
  </si>
  <si>
    <t>forward_price_1080</t>
  </si>
  <si>
    <t>Synthetic forward price at 1080 days derived from at-the-money call and put option prices, reflecting market consensus for the underlying at that tenor</t>
  </si>
  <si>
    <t>forward_price_270</t>
  </si>
  <si>
    <t>Synthetic forward price at 270 days expiry derived from ATM calls and puts reflecting the market-consensus forward expectation</t>
  </si>
  <si>
    <t>pcr_vol_1080</t>
  </si>
  <si>
    <t>Ratio of put volume to call volume on a stock's options with expiration 1080 days in the future.</t>
  </si>
  <si>
    <t>option_breakeven_180</t>
  </si>
  <si>
    <t>Weighted mean break-even price for combined call and put options expiring in 180 days, based on recent bid/ask prices</t>
  </si>
  <si>
    <t>pcr_vol_360</t>
  </si>
  <si>
    <t>Ratio of put volume to call volume on a stock's options with expiration 360 days in the future</t>
  </si>
  <si>
    <t>option_breakeven_20</t>
  </si>
  <si>
    <t>Price at which a stock's options with expiration 20 days in the future break even based on its recent bid/ask mean</t>
  </si>
  <si>
    <t>put_breakeven_90</t>
  </si>
  <si>
    <t>Open-interest-weighted mean breakeven price at which buyers of put options break even for options expiring in 90 days</t>
  </si>
  <si>
    <t>call_breakeven_90</t>
  </si>
  <si>
    <t>Price at which a stock's call options with expiration 90 days in the future break even based on its recent bid/ask mean</t>
  </si>
  <si>
    <t>put_breakeven_120</t>
  </si>
  <si>
    <t>Price at which a stock's put options with expiration 120 days in the future break even based on its recent bid/ask mean</t>
  </si>
  <si>
    <t>forward_price_60</t>
  </si>
  <si>
    <t>Synthetic forward price at 60 days derived from at-the-money call and put options reflecting the market's forward expectation of the underlying security</t>
  </si>
  <si>
    <t>option_breakeven_30</t>
  </si>
  <si>
    <t>Open-interest-weighted average breakeven price of all call and put options expiring in 30 days, representing the price at which option buyers collectively break even</t>
  </si>
  <si>
    <t>put_breakeven_720</t>
  </si>
  <si>
    <t>Weighted mean breakeven price of put options expiring in 720 days indicating the put buyers break-even price based on recent bid/ask</t>
  </si>
  <si>
    <t>forward_price_150</t>
  </si>
  <si>
    <t>Synthetic forward price at 150 days derived from at-the-money call and put options reflecting the market's forward expectation of the underlying security</t>
  </si>
  <si>
    <t>put_breakeven_360</t>
  </si>
  <si>
    <t>Open-interest-weighted mean breakeven price at which buyers of put options break even for options expiring in 360 days</t>
  </si>
  <si>
    <t>option_breakeven_360</t>
  </si>
  <si>
    <t>Open-interest-weighted average breakeven price of all call and put options expiring in 360 days, representing the price at which option buyers collectively break even</t>
  </si>
  <si>
    <t>forward_price_90</t>
  </si>
  <si>
    <t>Synthetic forward price at 90 days derived from put-call parity using ATM call and put prices, reflecting the market-consensus forward expectation of the underlying</t>
  </si>
  <si>
    <t>pcr_vol_all</t>
  </si>
  <si>
    <t>Ratio of total put option volume to call option volume aggregated across all maturities, measuring short-term options flow sentiment</t>
  </si>
  <si>
    <t>put_breakeven_150</t>
  </si>
  <si>
    <t>Open-interest-weighted mean breakeven price at which buyers of put options break even for options expiring in 150 days</t>
  </si>
  <si>
    <t>forward_price_120</t>
  </si>
  <si>
    <t>Synthetic forward price at 120 days derived from at-the-money call and put options reflecting the market's forward expectation of the underlying security</t>
  </si>
  <si>
    <t>put_breakeven_30</t>
  </si>
  <si>
    <t>The weighted mean break-even price of put options expiring in 30 days based on recent bid/ask prices</t>
  </si>
  <si>
    <t>put_breakeven_20</t>
  </si>
  <si>
    <t>Price at which a stock's put options with expiration 20 days in the future break even based on its recent bid/ask mean, weighted by open interest or volume</t>
  </si>
  <si>
    <t>put_breakeven_270</t>
  </si>
  <si>
    <t>Weighted mean breakeven price of put options expiring in 270 days indicating the break even price for put buyers based on recent bids and asks</t>
  </si>
  <si>
    <t>option_breakeven_90</t>
  </si>
  <si>
    <t>Open-interest-weighted mean breakeven price at which buyers of calls and puts combined break even for options expiring in 90 days</t>
  </si>
  <si>
    <t>put_breakeven_60</t>
  </si>
  <si>
    <t>Price at which a stock's put options with expiration 60 days in the future break even based on its recent bid/ask mean, weighted by open interest or volume</t>
  </si>
  <si>
    <t>option_breakeven_150</t>
  </si>
  <si>
    <t>Price at which a stock's options with expiration 150 days in the future break even based on its recent bid/ask mean</t>
  </si>
  <si>
    <t>pcr_vol_120</t>
  </si>
  <si>
    <t>Ratio of put options volume to call options volume for contracts expiring in 120 days on a stock's options</t>
  </si>
  <si>
    <t>put_breakeven_180</t>
  </si>
  <si>
    <t>Weighted mean breakeven price of put options expiring in 180 days derived from open interest or volume, indicating the price at which put buyers break even</t>
  </si>
  <si>
    <t>pcr_vol_150</t>
  </si>
  <si>
    <t>Ratio of total put options volume to call options volume for options expiring in 150 days, reflecting short-term options flow sentiment</t>
  </si>
  <si>
    <t>option_breakeven_60</t>
  </si>
  <si>
    <t>The weighted mean price at which buyers of call and put options combined break even at 60 days to expiry based on recent bid/ask prices</t>
  </si>
  <si>
    <t>option_breakeven_720</t>
  </si>
  <si>
    <t>Price at which a stock's options with expiration 720 days in the future break even based on its recent bid/ask mean</t>
  </si>
  <si>
    <t>pcr_vol_30</t>
  </si>
  <si>
    <t>Ratio of put volume to call volume on a stock's options with expiration 30 days in the future</t>
  </si>
  <si>
    <t>pcr_vol_60</t>
  </si>
  <si>
    <t>Ratio of total put options volume to call options volume for contracts expiring 60 days in the future, indicating short-term options flow sentiment</t>
  </si>
  <si>
    <t>pcr_vol_720</t>
  </si>
  <si>
    <t>Ratio of total put options volume to call options volume for contracts expiring in 720 days on a stock's options</t>
  </si>
  <si>
    <t>pcr_vol_20</t>
  </si>
  <si>
    <t>Ratio of put option volume to call option volume for options expiring in 20 days, signaling short-term options flow sentiment</t>
  </si>
  <si>
    <t>pcr_vol_90</t>
  </si>
  <si>
    <t>Ratio of put options volume to call options volume for stock options expiring in 90 days, indicating short-term options flow sentiment</t>
  </si>
  <si>
    <t>assets</t>
  </si>
  <si>
    <t>Assets - Total</t>
  </si>
  <si>
    <t>liabilities</t>
  </si>
  <si>
    <t>Liabilities - Total</t>
  </si>
  <si>
    <t>operating_income</t>
  </si>
  <si>
    <t>Operating Income After Depreciation - Quarterly</t>
  </si>
  <si>
    <t>sales</t>
  </si>
  <si>
    <t>Sales/Turnover (Net)</t>
  </si>
  <si>
    <t>capex</t>
  </si>
  <si>
    <t>Capital Expenditures</t>
  </si>
  <si>
    <t>equity</t>
  </si>
  <si>
    <t>Common/Ordinary Equity - Total</t>
  </si>
  <si>
    <t>ebitda</t>
  </si>
  <si>
    <t>Earnings Before Interest</t>
  </si>
  <si>
    <t>eps</t>
  </si>
  <si>
    <t>Earnings Per Share (Basic) - Including Extraordinary Items</t>
  </si>
  <si>
    <t>debt_lt</t>
  </si>
  <si>
    <t>Long-Term Debt - Total</t>
  </si>
  <si>
    <t>cashflow_op</t>
  </si>
  <si>
    <t>Operating Activities - Net Cash Flow</t>
  </si>
  <si>
    <t>assets_curr</t>
  </si>
  <si>
    <t>Current Assets - Total</t>
  </si>
  <si>
    <t>goodwill</t>
  </si>
  <si>
    <t>Goodwill (net)</t>
  </si>
  <si>
    <t>income</t>
  </si>
  <si>
    <t>Net Income</t>
  </si>
  <si>
    <t>revenue</t>
  </si>
  <si>
    <t>Revenue - Total</t>
  </si>
  <si>
    <t>cash</t>
  </si>
  <si>
    <t>Cash</t>
  </si>
  <si>
    <t>liabilities_curr</t>
  </si>
  <si>
    <t>Current Liabilities - Total</t>
  </si>
  <si>
    <t>cogs</t>
  </si>
  <si>
    <t>Cost of Goods Sold</t>
  </si>
  <si>
    <t>fnd6_acdo</t>
  </si>
  <si>
    <t>Current Assets of Discontinued Operations</t>
  </si>
  <si>
    <t>debt_st</t>
  </si>
  <si>
    <t>Debt in Current Liabilities</t>
  </si>
  <si>
    <t>cashflow</t>
  </si>
  <si>
    <t>Cashflow (Annual)</t>
  </si>
  <si>
    <t>ppent</t>
  </si>
  <si>
    <t>Property Plant and Equipment - Total (Net)</t>
  </si>
  <si>
    <t>operating_expense</t>
  </si>
  <si>
    <t>Operating Expense - Total</t>
  </si>
  <si>
    <t>fnd6_fopo</t>
  </si>
  <si>
    <t>Funds from Operations - Other</t>
  </si>
  <si>
    <t>fnd6_drlt</t>
  </si>
  <si>
    <t>Deferred Revenue - Long-term</t>
  </si>
  <si>
    <t>inventory</t>
  </si>
  <si>
    <t>Inventories - Total</t>
  </si>
  <si>
    <t>fnd6_ivaco</t>
  </si>
  <si>
    <t>Investing Activities - Other</t>
  </si>
  <si>
    <t>return_equity</t>
  </si>
  <si>
    <t>Return on Equity</t>
  </si>
  <si>
    <t>cash_st</t>
  </si>
  <si>
    <t>Cash and Short-Term Investments</t>
  </si>
  <si>
    <t>fnd6_drc</t>
  </si>
  <si>
    <t>Deferred Revenue - Current</t>
  </si>
  <si>
    <t>receivable</t>
  </si>
  <si>
    <t>Receivables - Total</t>
  </si>
  <si>
    <t>sga_expense</t>
  </si>
  <si>
    <t>Selling, General and Administrative Expenses</t>
  </si>
  <si>
    <t>sales_growth</t>
  </si>
  <si>
    <t>Growth in Sales (Quarterly)</t>
  </si>
  <si>
    <t>cashflow_fin</t>
  </si>
  <si>
    <t>Financing Activities - Net Cash Flow</t>
  </si>
  <si>
    <t>retained_earnings</t>
  </si>
  <si>
    <t>Retained Earnings</t>
  </si>
  <si>
    <t>income_tax</t>
  </si>
  <si>
    <t>Income Taxes - Total</t>
  </si>
  <si>
    <t>pretax_income</t>
  </si>
  <si>
    <t>Pretax Income</t>
  </si>
  <si>
    <t>fnd6_newa2v1300_ppent</t>
  </si>
  <si>
    <t>Property, Plant and Equipment - Total (Net)</t>
  </si>
  <si>
    <t>income_beforeextra</t>
  </si>
  <si>
    <t>Income Before Extraordinary Items</t>
  </si>
  <si>
    <t>inventory_turnover</t>
  </si>
  <si>
    <t>Inventory Turnover</t>
  </si>
  <si>
    <t>cashflow_dividends</t>
  </si>
  <si>
    <t>Cash Dividends (Cash Flow)</t>
  </si>
  <si>
    <t>invested_capital</t>
  </si>
  <si>
    <t>Invested Capital - Total - Quarterly</t>
  </si>
  <si>
    <t>fnd6_mrcta</t>
  </si>
  <si>
    <t>Thereafter Portion of Leases</t>
  </si>
  <si>
    <t>working_capital</t>
  </si>
  <si>
    <t>Working Capital (Balance Sheet)</t>
  </si>
  <si>
    <t>fnd6_ciother</t>
  </si>
  <si>
    <t>Comp. Inc. - Other Adj.</t>
  </si>
  <si>
    <t>fnd6_recd</t>
  </si>
  <si>
    <t>Receivables - Estimated Doubtful</t>
  </si>
  <si>
    <t>fnd6_newqv1300_drltq</t>
  </si>
  <si>
    <t>fnd6_rea</t>
  </si>
  <si>
    <t>Retained Earnings - Restatement</t>
  </si>
  <si>
    <t>employee</t>
  </si>
  <si>
    <t>Employees</t>
  </si>
  <si>
    <t>cashflow_invst</t>
  </si>
  <si>
    <t>Investing Activities - Net Cash Flow</t>
  </si>
  <si>
    <t>fnd6_ein</t>
  </si>
  <si>
    <t>Employer Identification Number code for the company</t>
  </si>
  <si>
    <t>depre_amort</t>
  </si>
  <si>
    <t>Depreciation and Amortization - Total</t>
  </si>
  <si>
    <t>fnd6_fatl</t>
  </si>
  <si>
    <t>Property, Plant, and Equipment - Leases at Cost</t>
  </si>
  <si>
    <t>fnd6_adesinda_curcd</t>
  </si>
  <si>
    <t>ISO Currency Code - Company Annual Market</t>
  </si>
  <si>
    <t>fnd6_txdbclq</t>
  </si>
  <si>
    <t>Current Deferred Tax Liability</t>
  </si>
  <si>
    <t>fnd6_newa2v1300_rdipeps</t>
  </si>
  <si>
    <t>In Process R&amp;D Expense Basic EPS Effect</t>
  </si>
  <si>
    <t>fnd6_ds</t>
  </si>
  <si>
    <t>Debt - Subordinated</t>
  </si>
  <si>
    <t>fnd6_xrent</t>
  </si>
  <si>
    <t>Rental Expense</t>
  </si>
  <si>
    <t>fnd6_acodo</t>
  </si>
  <si>
    <t>Other Current Assets Excl Discontinued Operations</t>
  </si>
  <si>
    <t>rd_expense</t>
  </si>
  <si>
    <t>Research And Development (Quarterly)</t>
  </si>
  <si>
    <t>fnd6_lcox</t>
  </si>
  <si>
    <t>Current Liabilities - Other - Sundry</t>
  </si>
  <si>
    <t>fnd6_currencya_curcd</t>
  </si>
  <si>
    <t>fnd6_newa2v1300_oibdp</t>
  </si>
  <si>
    <t>Operating Income Before Depreciation</t>
  </si>
  <si>
    <t>fnd6_newa2v1300_xsga</t>
  </si>
  <si>
    <t>Selling, General and Administrative Expense</t>
  </si>
  <si>
    <t>fnd6_acox</t>
  </si>
  <si>
    <t>Current Assets - Other - Sundry</t>
  </si>
  <si>
    <t>interest_expense</t>
  </si>
  <si>
    <t>Interest and Related Expense - Total</t>
  </si>
  <si>
    <t>fnd6_eventv110_optvolq</t>
  </si>
  <si>
    <t>Volatility - Assumption (%)</t>
  </si>
  <si>
    <t>fnd6_newqv1300_lltq</t>
  </si>
  <si>
    <t>Long-Term Liabilities (Total)</t>
  </si>
  <si>
    <t>fnd6_newqeventv110_drltq</t>
  </si>
  <si>
    <t>fnd6_pifo</t>
  </si>
  <si>
    <t>Pretax Income - Foreign</t>
  </si>
  <si>
    <t>fnd6_zipcode</t>
  </si>
  <si>
    <t>ZIP code related to the company</t>
  </si>
  <si>
    <t>fnd6_newa1v1300_gp</t>
  </si>
  <si>
    <t>Gross Profit (Loss)</t>
  </si>
  <si>
    <t>fnd6_dlto</t>
  </si>
  <si>
    <t>Debt - Long-Term - Other</t>
  </si>
  <si>
    <t>fnd6_newqv1300_rdipq</t>
  </si>
  <si>
    <t>In Process R&amp;D</t>
  </si>
  <si>
    <t>fnd6_ppents</t>
  </si>
  <si>
    <t>Property, Plant &amp; Equipment</t>
  </si>
  <si>
    <t>fnd6_cicurr</t>
  </si>
  <si>
    <t>Comp Inc - Currency Trans Adj</t>
  </si>
  <si>
    <t>fnd6_newqv1300_seqoq</t>
  </si>
  <si>
    <t>Other Stockholders' Equity Adjustments</t>
  </si>
  <si>
    <t>fnd6_lcoxdr</t>
  </si>
  <si>
    <t>Current Liabilities - Other - Excluding Deferred Revenue</t>
  </si>
  <si>
    <t>fnd6_intc</t>
  </si>
  <si>
    <t>Interest Capitalized</t>
  </si>
  <si>
    <t>fnd6_loxdr</t>
  </si>
  <si>
    <t>Liabilities - Other - Excluding Deferred Revenue</t>
  </si>
  <si>
    <t>fnd6_newa2v1300_prsho</t>
  </si>
  <si>
    <t>Redeem Pfd Shares Outs (000)</t>
  </si>
  <si>
    <t>fnd6_newa2v1300_rdipd</t>
  </si>
  <si>
    <t>In Process R&amp;D Expense Diluted EPS Effect</t>
  </si>
  <si>
    <t>fnd6_weburl</t>
  </si>
  <si>
    <t>WEB URL code for the company</t>
  </si>
  <si>
    <t>fnd6_capxv</t>
  </si>
  <si>
    <t>Capital Expend Property, Plant and Equipment Schd V</t>
  </si>
  <si>
    <t>fnd6_cik</t>
  </si>
  <si>
    <t>nonimportant technical code</t>
  </si>
  <si>
    <t>fnd6_ci</t>
  </si>
  <si>
    <t>Comprehensive Income - Total</t>
  </si>
  <si>
    <t>fnd6_exre</t>
  </si>
  <si>
    <t>Exchange Rate Effect</t>
  </si>
  <si>
    <t>fnd6_newqeventv110_optrfrq</t>
  </si>
  <si>
    <t>Risk Free Rate - Assumption (%)</t>
  </si>
  <si>
    <t>fnd6_ceql</t>
  </si>
  <si>
    <t>Common Equity - Liquidation Value</t>
  </si>
  <si>
    <t>fnd6_txo</t>
  </si>
  <si>
    <t>Income Taxes - Other</t>
  </si>
  <si>
    <t>fnd6_mrc2</t>
  </si>
  <si>
    <t>Rental Commitments - Minimum - 2nd Year</t>
  </si>
  <si>
    <t>fnd6_idesindq_curcd</t>
  </si>
  <si>
    <t>fnd6_teq</t>
  </si>
  <si>
    <t>Stockholders' Equity - Total</t>
  </si>
  <si>
    <t>fnd6_itci</t>
  </si>
  <si>
    <t>Investment Tax Credit (Income Account)</t>
  </si>
  <si>
    <t>fnd6_city</t>
  </si>
  <si>
    <t>the city where a company's corporate headquarters or home office is located</t>
  </si>
  <si>
    <t>fnd6_ch</t>
  </si>
  <si>
    <t>fnd6_state</t>
  </si>
  <si>
    <t>integer for identifying the state of the company</t>
  </si>
  <si>
    <t>fnd6_mrc5</t>
  </si>
  <si>
    <t>Rental Commitments - Minimum - 5th Year</t>
  </si>
  <si>
    <t>fnd6_optca</t>
  </si>
  <si>
    <t>Options - Cancelled (-)</t>
  </si>
  <si>
    <t>fnd6_eventv110_optlifeq</t>
  </si>
  <si>
    <t>Life of Options - Assumption (# yrs)</t>
  </si>
  <si>
    <t>fnd6_cld4</t>
  </si>
  <si>
    <t>Capitalized Leases - Due in 4th Year</t>
  </si>
  <si>
    <t>fnd6_newqeventv110_tstkq</t>
  </si>
  <si>
    <t>Treasury Stock - Total (All Capital)</t>
  </si>
  <si>
    <t>fnd6_newa2v1300_optexd</t>
  </si>
  <si>
    <t>Options - Exercised (-)</t>
  </si>
  <si>
    <t>fnd6_naicss</t>
  </si>
  <si>
    <t>NAICS Code</t>
  </si>
  <si>
    <t>fnd6_dltr</t>
  </si>
  <si>
    <t>Long-Term Debt - Reduction</t>
  </si>
  <si>
    <t>fnd6_newqv1300_ancq</t>
  </si>
  <si>
    <t>Non-Current Assets - Total</t>
  </si>
  <si>
    <t>fnd6_newqv1300_lcoq</t>
  </si>
  <si>
    <t>Current Liabilities - Other - Total</t>
  </si>
  <si>
    <t>fnd6_dd1</t>
  </si>
  <si>
    <t>Long-Term Debt Due in 1 Year</t>
  </si>
  <si>
    <t>fnd6_niadj</t>
  </si>
  <si>
    <t>Net Income Adjusted for Common/Ordinary Stock (Capital) Equivalents</t>
  </si>
  <si>
    <t>fnd6_txbco</t>
  </si>
  <si>
    <t>Excess Tax Benefit Stock Options - Cash Flow Operating</t>
  </si>
  <si>
    <t>fnd6_cld3</t>
  </si>
  <si>
    <t>Capitalized Leases - Due in 3rd Year</t>
  </si>
  <si>
    <t>fnd6_currencyqv1300_curcd</t>
  </si>
  <si>
    <t>fnd6_incorp</t>
  </si>
  <si>
    <t>Incorporated</t>
  </si>
  <si>
    <t>fnd6_fopox</t>
  </si>
  <si>
    <t>Funds from Operations - Other excluding Option Tax Benefit</t>
  </si>
  <si>
    <t>fnd6_newa1v1300_act</t>
  </si>
  <si>
    <t>fnd6_newa2v1300_xidoc</t>
  </si>
  <si>
    <t>Extraordinary Items and Discontinued Operations (Cash Flow)</t>
  </si>
  <si>
    <t>fnd6_mrc4</t>
  </si>
  <si>
    <t>Rental Commitments - Minimum - 4th Year</t>
  </si>
  <si>
    <t>fnd6_newa2v1300_ni</t>
  </si>
  <si>
    <t>Net Income (Loss)</t>
  </si>
  <si>
    <t>fnd6_cshtr</t>
  </si>
  <si>
    <t>Common Shares Traded - Annual</t>
  </si>
  <si>
    <t>fnd6_xopr</t>
  </si>
  <si>
    <t>Operating Expenses - Total</t>
  </si>
  <si>
    <t>fnd6_ranks</t>
  </si>
  <si>
    <t>Ranking</t>
  </si>
  <si>
    <t>fnd6_am</t>
  </si>
  <si>
    <t>Amortization of Intangibles</t>
  </si>
  <si>
    <t>fnd6_fyrc</t>
  </si>
  <si>
    <t>Unimportant technical code, please ignore for research purposes</t>
  </si>
  <si>
    <t>fnd6_mrc1</t>
  </si>
  <si>
    <t>Rental Commitments - Minimum - 1st Year</t>
  </si>
  <si>
    <t>fnd6_cptmfmq_lctq</t>
  </si>
  <si>
    <t>fnd6_cld2</t>
  </si>
  <si>
    <t>Capitalized Leases - Due in 2nd Year</t>
  </si>
  <si>
    <t>fnd6_aqc</t>
  </si>
  <si>
    <t>Acquisitions</t>
  </si>
  <si>
    <t>fnd6_newqv1300_drcq</t>
  </si>
  <si>
    <t>fnd6_aldo</t>
  </si>
  <si>
    <t>Long-term Assets of Discontinued Operations</t>
  </si>
  <si>
    <t>fnd6_newqv1300_acomincq</t>
  </si>
  <si>
    <t>Accumulated Other Comprehensive Income (Loss)</t>
  </si>
  <si>
    <t>fnd6_cisecgl</t>
  </si>
  <si>
    <t>Comp Inc - Securities Gains/Losses</t>
  </si>
  <si>
    <t>fnd6_stype</t>
  </si>
  <si>
    <t>Segment Type</t>
  </si>
  <si>
    <t>fnd6_mrct</t>
  </si>
  <si>
    <t>Rental Commitments - Minimum - 5-Year Total</t>
  </si>
  <si>
    <t>fnd6_newa1v1300_lo</t>
  </si>
  <si>
    <t>Liabilities - Other - Total</t>
  </si>
  <si>
    <t>fnd6_dd3</t>
  </si>
  <si>
    <t>Debt Due in 3rd Year</t>
  </si>
  <si>
    <t>fnd6_mrc3</t>
  </si>
  <si>
    <t>Rental Commitments - Minimum - 3rd Year</t>
  </si>
  <si>
    <t>fnd6_txfo</t>
  </si>
  <si>
    <t>Income Taxes - Foreign</t>
  </si>
  <si>
    <t>fnd6_aox</t>
  </si>
  <si>
    <t>Assets - Other - Sundry</t>
  </si>
  <si>
    <t>fnd6_cptmfmq_atq</t>
  </si>
  <si>
    <t>fnd6_acqgdwl</t>
  </si>
  <si>
    <t>Acquired Assets - Goodwill</t>
  </si>
  <si>
    <t>fnd6_loc</t>
  </si>
  <si>
    <t>string for locating the Headquarters of the company</t>
  </si>
  <si>
    <t>fnd6_cld5</t>
  </si>
  <si>
    <t>Capitalized Leases - Due in 5th Year</t>
  </si>
  <si>
    <t>fnd6_cptmfmq_opepsq</t>
  </si>
  <si>
    <t>Earnings Per Share from Operations</t>
  </si>
  <si>
    <t>fnd6_cptmfmq_ceqq</t>
  </si>
  <si>
    <t>fnd6_newa1v1300_aco</t>
  </si>
  <si>
    <t>Current Assets - Other - Total</t>
  </si>
  <si>
    <t>fnd6_lifr</t>
  </si>
  <si>
    <t>LIFO Reserve</t>
  </si>
  <si>
    <t>fnd6_xacc</t>
  </si>
  <si>
    <t>Accrued Expenses</t>
  </si>
  <si>
    <t>fnd6_newqeventv110_pstknq</t>
  </si>
  <si>
    <t>Preferred/Preference Stock - Nonredeemable</t>
  </si>
  <si>
    <t>fnd6_cptmfmq_dlttq</t>
  </si>
  <si>
    <t>fnd6_mfma1_at</t>
  </si>
  <si>
    <t>fnd6_cptnewqv1300_dlttq</t>
  </si>
  <si>
    <t>fnd6_mfmq_cshprq</t>
  </si>
  <si>
    <t>Common Shares Used to Calculate Earnings Per Share - Basic</t>
  </si>
  <si>
    <t>fnd6_sstk</t>
  </si>
  <si>
    <t>Sale of Common and Preferred Stock</t>
  </si>
  <si>
    <t>fnd6_cshtrq</t>
  </si>
  <si>
    <t>Common Shares Traded - Quarter</t>
  </si>
  <si>
    <t>fnd6_optdr</t>
  </si>
  <si>
    <t>Dividend Rate - Assumption (%)</t>
  </si>
  <si>
    <t>fnd6_txndbr</t>
  </si>
  <si>
    <t>Deferred Tax Residual</t>
  </si>
  <si>
    <t>fnd6_optex</t>
  </si>
  <si>
    <t>Options Exercisable (000)</t>
  </si>
  <si>
    <t>fnd6_newa1v1300_dltt</t>
  </si>
  <si>
    <t>fnd6_newa1v1300_dcom</t>
  </si>
  <si>
    <t>Deferred Compensation</t>
  </si>
  <si>
    <t>fnd6_newa2v1300_oiadp</t>
  </si>
  <si>
    <t>Operating Income After Depreciation</t>
  </si>
  <si>
    <t>fnd6_cptnewqv1300_oiadpq</t>
  </si>
  <si>
    <t>fnd6_fic</t>
  </si>
  <si>
    <t>Identifies the country in which the company is incorporated or legally registered</t>
  </si>
  <si>
    <t>fnd6_newqv1300_esoprq</t>
  </si>
  <si>
    <t>Preferred ESOP Obligation - Redeemable</t>
  </si>
  <si>
    <t>fnd6_newa2v1300_rdipa</t>
  </si>
  <si>
    <t>In-Process R&amp;D Expense After-tax</t>
  </si>
  <si>
    <t>fnd6_newqeventv110_drcq</t>
  </si>
  <si>
    <t>fnd6_newa1v1300_dlc</t>
  </si>
  <si>
    <t>Debt in Current Liabilities - Total</t>
  </si>
  <si>
    <t>fnd6_newqeventv110_prcraq</t>
  </si>
  <si>
    <t>Repurchase Price - Average per share</t>
  </si>
  <si>
    <t>fnd6_dc</t>
  </si>
  <si>
    <t>Deferred Charges</t>
  </si>
  <si>
    <t>fnd6_cptnewqv1300_oeps12</t>
  </si>
  <si>
    <t>Earnings Per Share from Operations - 12 Months Moving</t>
  </si>
  <si>
    <t>fnd6_xad</t>
  </si>
  <si>
    <t>Advertising Expense</t>
  </si>
  <si>
    <t>fnd6_newqv1300_teqq</t>
  </si>
  <si>
    <t>Stockholders' Equity - Total - Quarterly</t>
  </si>
  <si>
    <t>fnd6_cptnewqv1300_nopiq</t>
  </si>
  <si>
    <t>Non-Operating Income (Expense) - Total</t>
  </si>
  <si>
    <t>fnd6_mfma2_opeps</t>
  </si>
  <si>
    <t>fnd6_newqv1300_intanoq</t>
  </si>
  <si>
    <t>Other Intangibles</t>
  </si>
  <si>
    <t>fnd6_recta</t>
  </si>
  <si>
    <t>Retained Earnings - Cumulative Translation Adjustment</t>
  </si>
  <si>
    <t>fnd6_newqv1300_xoprq</t>
  </si>
  <si>
    <t>fnd6_cptnewqv1300_rectq</t>
  </si>
  <si>
    <t>fnd6_newqv1300_esopnrq</t>
  </si>
  <si>
    <t>Preferred ESOP Obligation - Non-Redeemable</t>
  </si>
  <si>
    <t>fnd6_newa1v1300_lct</t>
  </si>
  <si>
    <t>fnd6_cstkcvq</t>
  </si>
  <si>
    <t>Common Stock-Carrying Value</t>
  </si>
  <si>
    <t>fnd6_oprepsx</t>
  </si>
  <si>
    <t>Earnings Per Share - Diluted - from Operations</t>
  </si>
  <si>
    <t>fnd6_cptnewqv1300_apq</t>
  </si>
  <si>
    <t>Accounts Payable/Creditors - Trade</t>
  </si>
  <si>
    <t>fnd6_newa2v1300_seq</t>
  </si>
  <si>
    <t>Stockholders Equity - Parent</t>
  </si>
  <si>
    <t>fnd6_dcvt</t>
  </si>
  <si>
    <t>Debt - Convertible</t>
  </si>
  <si>
    <t>fnd6_cptnewqv1300_lctq</t>
  </si>
  <si>
    <t>fnd6_txw</t>
  </si>
  <si>
    <t>Excise Taxes</t>
  </si>
  <si>
    <t>fnd6_newa1v1300_bkvlps</t>
  </si>
  <si>
    <t>Book Value Per Share</t>
  </si>
  <si>
    <t>fnd6_newqv1300_recdq</t>
  </si>
  <si>
    <t>fnd6_cptnewqv1300_opepsq</t>
  </si>
  <si>
    <t>fnd6_ddo</t>
  </si>
  <si>
    <t>Debt - Capitalized Lease Obligations</t>
  </si>
  <si>
    <t>fnd6_cptnewqv1300_epsfxq</t>
  </si>
  <si>
    <t>Earnings Per Share (Diluted) - Excluding Extraordinary items</t>
  </si>
  <si>
    <t>fnd6_intan</t>
  </si>
  <si>
    <t>Intangible Assets - Total</t>
  </si>
  <si>
    <t>fnd6_newqv1300_oepf12</t>
  </si>
  <si>
    <t>Earnings Per Share - Diluted - from Operations - 12MM</t>
  </si>
  <si>
    <t>fnd6_cptmfmq_saleq</t>
  </si>
  <si>
    <t>fnd6_mfma1_csho</t>
  </si>
  <si>
    <t>Common Shares Outstanding</t>
  </si>
  <si>
    <t>fnd6_dd1q</t>
  </si>
  <si>
    <t>fnd6_newqv1300_reunaq</t>
  </si>
  <si>
    <t>Unadjusted Retained Earnings</t>
  </si>
  <si>
    <t>fnd6_newqv1300_capsq</t>
  </si>
  <si>
    <t>Capital Surplus/Share Premium Reserve</t>
  </si>
  <si>
    <t>fnd6_newa1v1300_at</t>
  </si>
  <si>
    <t>fnd6_aodo</t>
  </si>
  <si>
    <t>Other Assets excluding Discontinued Operations</t>
  </si>
  <si>
    <t>fnd6_cipen</t>
  </si>
  <si>
    <t>Comprehensive Income - Minimum Pension Adjustment</t>
  </si>
  <si>
    <t>fnd6_cptnewqv1300_oibdpq</t>
  </si>
  <si>
    <t>Operating Income Before Depreciation - Quarterly</t>
  </si>
  <si>
    <t>fnd6_newa1v1300_fincf</t>
  </si>
  <si>
    <t>fnd6_prcc</t>
  </si>
  <si>
    <t>Price Close - Annual</t>
  </si>
  <si>
    <t>fnd6_msa</t>
  </si>
  <si>
    <t>Marketable Securities Adjustment</t>
  </si>
  <si>
    <t>fnd6_cptmfmq_oibdpq</t>
  </si>
  <si>
    <t>fnd6_newqv1300_txwq</t>
  </si>
  <si>
    <t>fnd6_cptnewqeventv110_lctq</t>
  </si>
  <si>
    <t>fnd6_mfma2_revt</t>
  </si>
  <si>
    <t>fnd6_cptnewqv1300_epsf12</t>
  </si>
  <si>
    <t>Earnings Per Share (Diluted) - Excluding Extraordinary Items - 12 Months Moving</t>
  </si>
  <si>
    <t>fnd6_cptnewqv1300_atq</t>
  </si>
  <si>
    <t>fnd6_newa1v1300_acominc</t>
  </si>
  <si>
    <t>fnd6_newqeventv110_esoprq</t>
  </si>
  <si>
    <t>fnd6_dvpa</t>
  </si>
  <si>
    <t>Preferred Dividends in Arrears</t>
  </si>
  <si>
    <t>fnd6_newa1v1300_lco</t>
  </si>
  <si>
    <t>fnd6_newa1v1300_cstk</t>
  </si>
  <si>
    <t>Common/Ordinary Stock (Capital)</t>
  </si>
  <si>
    <t>fnd6_eventv110_npq</t>
  </si>
  <si>
    <t>Notes Payable</t>
  </si>
  <si>
    <t>fnd6_cibegni</t>
  </si>
  <si>
    <t>Comp Inc - Beginning Net Income</t>
  </si>
  <si>
    <t>fnd6_dudd</t>
  </si>
  <si>
    <t>Debt - Unamortized Debt Discount and Other</t>
  </si>
  <si>
    <t>fnd6_newqv1300_xsgaq</t>
  </si>
  <si>
    <t>fnd6_recco</t>
  </si>
  <si>
    <t>Receivables - Current - Other</t>
  </si>
  <si>
    <t>fnd6_mibn</t>
  </si>
  <si>
    <t>Noncontrolling Interests - Nonredeemable - Balance Sheet</t>
  </si>
  <si>
    <t>fnd6_prcl</t>
  </si>
  <si>
    <t>Price Low - Annual</t>
  </si>
  <si>
    <t>fnd6_cptnewqv1300_ceqq</t>
  </si>
  <si>
    <t>fnd6_txbcof</t>
  </si>
  <si>
    <t>Excess Tax Benefit of Stock Options - Cash Flow Financing</t>
  </si>
  <si>
    <t>fnd6_esopnr</t>
  </si>
  <si>
    <t>fnd6_newa2v1300_mib</t>
  </si>
  <si>
    <t>Minority Interest (Balance Sheet)</t>
  </si>
  <si>
    <t>fnd6_cptnewqv1300_ltq</t>
  </si>
  <si>
    <t>fnd6_optosby</t>
  </si>
  <si>
    <t>Options Outstanding - Beginning of Year</t>
  </si>
  <si>
    <t>fnd6_optlife</t>
  </si>
  <si>
    <t>fnd6_newa1v1300_ceq</t>
  </si>
  <si>
    <t>fnd6_pnrsho</t>
  </si>
  <si>
    <t>Nonred Pfd Shares Outs (000)</t>
  </si>
  <si>
    <t>fnd6_mfma1_aoloch</t>
  </si>
  <si>
    <t>Assets and Liabilities - Other - Net Change</t>
  </si>
  <si>
    <t>fnd6_newa2v1300_rdip</t>
  </si>
  <si>
    <t>In Process R&amp;D Expense</t>
  </si>
  <si>
    <t>fnd6_txtubposdec</t>
  </si>
  <si>
    <t>Decrease - Current Tax Positions</t>
  </si>
  <si>
    <t>fnd6_optosey</t>
  </si>
  <si>
    <t>Options Outstanding - End of Year</t>
  </si>
  <si>
    <t>fnd6_rectr</t>
  </si>
  <si>
    <t>Receivables - Trade</t>
  </si>
  <si>
    <t>fnd6_newa1v1300_emp</t>
  </si>
  <si>
    <t>fnd6_newqv1300_dcomq</t>
  </si>
  <si>
    <t>fnd6_cstkcv</t>
  </si>
  <si>
    <t>fnd6_optrfr</t>
  </si>
  <si>
    <t>Risk-Free Rate - Assumption (%)</t>
  </si>
  <si>
    <t>fnd6_optvol</t>
  </si>
  <si>
    <t>fnd6_newqeventv110_cstkeq</t>
  </si>
  <si>
    <t>Common Stock Equivalents - Dollar Savings</t>
  </si>
  <si>
    <t>fnd6_newa2v1300_opeps</t>
  </si>
  <si>
    <t>fnd6_dcvsr</t>
  </si>
  <si>
    <t>Debt - Senior Convertible</t>
  </si>
  <si>
    <t>fnd6_newa1v1300_lt</t>
  </si>
  <si>
    <t>fnd6_newa1v1300_cshfd</t>
  </si>
  <si>
    <t>Common Shares Used to Calc Earnings Per Share - Fully Diluted</t>
  </si>
  <si>
    <t>fnd6_newqv1300_ciotherq</t>
  </si>
  <si>
    <t>Comp Inc - Other Adj</t>
  </si>
  <si>
    <t>fnd6_ibmii</t>
  </si>
  <si>
    <t>Income before Extraordinary Items and Noncontrolling Interests</t>
  </si>
  <si>
    <t>fnd6_newqeventv110_wdpq</t>
  </si>
  <si>
    <t>Writedowns Pretax</t>
  </si>
  <si>
    <t>fnd6_newa2v1300_ppegt</t>
  </si>
  <si>
    <t>Property, Plant and Equipment - Total (Gross)</t>
  </si>
  <si>
    <t>fnd6_newqeventv110_diladq</t>
  </si>
  <si>
    <t>Dilution Adjustment</t>
  </si>
  <si>
    <t>fnd6_newqv1300_optfvgrq</t>
  </si>
  <si>
    <t>Options - Fair Value of Options Granted</t>
  </si>
  <si>
    <t>fnd6_dm</t>
  </si>
  <si>
    <t>Debt - Mortgages &amp; Other Secured</t>
  </si>
  <si>
    <t>fnd6_newa1v1300_epsfi</t>
  </si>
  <si>
    <t>Earnings Per Share (Diluted) - Including Extraordinary Items</t>
  </si>
  <si>
    <t>fnd6_newa2v1300_seqo</t>
  </si>
  <si>
    <t>fnd6_dd</t>
  </si>
  <si>
    <t>Debt - Debentures</t>
  </si>
  <si>
    <t>fnd6_newa1v1300_ibc</t>
  </si>
  <si>
    <t>Income Before Extraordinary Items (Cash Flow)</t>
  </si>
  <si>
    <t>fnd6_newqv1300_aocisecglq</t>
  </si>
  <si>
    <t>Accum Other Comp Inc - Unreal G/L Ret Int in Sec Assets</t>
  </si>
  <si>
    <t>fnd6_mfma2_oancf</t>
  </si>
  <si>
    <t>fnd6_xaccq</t>
  </si>
  <si>
    <t>fnd6_cptnewqv1300_epsx12</t>
  </si>
  <si>
    <t>Earnings Per Share (Basic) - Excluding Extraordinary Items - 12 Months Moving</t>
  </si>
  <si>
    <t>fnd6_mfmq_piq</t>
  </si>
  <si>
    <t>fnd6_newqv1300_cshfdq</t>
  </si>
  <si>
    <t>Common Shares for Diluted EPS</t>
  </si>
  <si>
    <t>fnd6_cptmfmq_actq</t>
  </si>
  <si>
    <t>fnd6_newqv1300_seqq</t>
  </si>
  <si>
    <t>fnd6_cshpri</t>
  </si>
  <si>
    <t>fnd6_esopr</t>
  </si>
  <si>
    <t>fnd6_newa1v1300_dpc</t>
  </si>
  <si>
    <t>Depreciation and Amortization (Cash Flow)</t>
  </si>
  <si>
    <t>fnd6_newqv1300_icaptq</t>
  </si>
  <si>
    <t>fnd6_newa1v1300_ap</t>
  </si>
  <si>
    <t>Accounts Payable - Trade</t>
  </si>
  <si>
    <t>fnd6_newqv1300_xrdq</t>
  </si>
  <si>
    <t>Research and Development Expense</t>
  </si>
  <si>
    <t>fnd6_citotal</t>
  </si>
  <si>
    <t>Comprehensive Income - Parent</t>
  </si>
  <si>
    <t>fnd6_newa1v1300_cogs</t>
  </si>
  <si>
    <t>fnd6_newa1v1300_capx</t>
  </si>
  <si>
    <t>fnd6_newqv1300_dilavq</t>
  </si>
  <si>
    <t>Dilution Available - Excluding Extraordinary Items</t>
  </si>
  <si>
    <t>fnd6_optprcby</t>
  </si>
  <si>
    <t>Options Outstanding Beginning of Year - Price</t>
  </si>
  <si>
    <t>fnd6_mfma1_dpc</t>
  </si>
  <si>
    <t>fnd6_txpd</t>
  </si>
  <si>
    <t>Income Taxes Paid</t>
  </si>
  <si>
    <t>fnd6_optgr</t>
  </si>
  <si>
    <t>Options - Granted</t>
  </si>
  <si>
    <t>fnd6_reajo</t>
  </si>
  <si>
    <t>Retained Earnings - Other Adjustments</t>
  </si>
  <si>
    <t>fnd6_beta</t>
  </si>
  <si>
    <t>beta</t>
  </si>
  <si>
    <t>fnd6_newqv1300_epsfiq</t>
  </si>
  <si>
    <t>fnd6_newqv1300_ibmiiq</t>
  </si>
  <si>
    <t>fnd6_donr</t>
  </si>
  <si>
    <t>Nonrecurring Disc Operations</t>
  </si>
  <si>
    <t>fnd6_ivaeq</t>
  </si>
  <si>
    <t>Investment and Advances - Equity</t>
  </si>
  <si>
    <t>fnd6_dd2</t>
  </si>
  <si>
    <t>Debt Due in 2nd Year</t>
  </si>
  <si>
    <t>fnd6_newqv1300_ibadj12</t>
  </si>
  <si>
    <t>Income Before Extra Items - Adj for Common Stock Equivalents - 12MM</t>
  </si>
  <si>
    <t>fnd6_dltis</t>
  </si>
  <si>
    <t>Long-Term Debt - Issuance</t>
  </si>
  <si>
    <t>fnd6_optprcex</t>
  </si>
  <si>
    <t>Options Exercised - Price</t>
  </si>
  <si>
    <t>fnd6_newa2v1300_reuna</t>
  </si>
  <si>
    <t>Retained Earnings - Unadjusted</t>
  </si>
  <si>
    <t>fnd6_optfvgr</t>
  </si>
  <si>
    <t>fnd6_newa1v1300_chech</t>
  </si>
  <si>
    <t>Cash and Cash Equivalents - Increase/(Decrease)</t>
  </si>
  <si>
    <t>fnd6_newa2v1300_mii</t>
  </si>
  <si>
    <t>Noncontrolling Interest (Income Account)</t>
  </si>
  <si>
    <t>fnd6_newqv1300_aoq</t>
  </si>
  <si>
    <t>Assets - Other - Total</t>
  </si>
  <si>
    <t>fnd6_cidergl</t>
  </si>
  <si>
    <t>Comp Inc - Derivative Gains/Losses</t>
  </si>
  <si>
    <t>fnd6_newa1v1300_epspi</t>
  </si>
  <si>
    <t>fnd6_itcb</t>
  </si>
  <si>
    <t>Investment Tax Credit (Balance Sheet)</t>
  </si>
  <si>
    <t>fnd6_optprcgr</t>
  </si>
  <si>
    <t>Options Granted - Price</t>
  </si>
  <si>
    <t>fnd6_prccq</t>
  </si>
  <si>
    <t>Price Close - Quarter</t>
  </si>
  <si>
    <t>fnd6_newqv1300_aociotherq</t>
  </si>
  <si>
    <t>Accumulated Other Comprehensive Income - Other Adjustments</t>
  </si>
  <si>
    <t>fnd6_fatb</t>
  </si>
  <si>
    <t>Plant, Property and Equipment at Cost - Buildings</t>
  </si>
  <si>
    <t>fnd6_dcpstk</t>
  </si>
  <si>
    <t>Convertible Debt and Preferred Stock</t>
  </si>
  <si>
    <t>fnd6_prclq</t>
  </si>
  <si>
    <t>Price Low - Quarter</t>
  </si>
  <si>
    <t>fnd6_optprcwa</t>
  </si>
  <si>
    <t>Options Exercisable - Weighted Avg Price</t>
  </si>
  <si>
    <t>fnd6_newa1v1300_epsfx</t>
  </si>
  <si>
    <t>Earnings Per Share (Diluted) - Excluding Extraordinary Items</t>
  </si>
  <si>
    <t>fnd6_newqv1300_ppentq</t>
  </si>
  <si>
    <t>fnd6_mfma1_capx</t>
  </si>
  <si>
    <t>fnd6_acqintan</t>
  </si>
  <si>
    <t>Acquired Assets - Intangibles</t>
  </si>
  <si>
    <t>fnd6_mibt</t>
  </si>
  <si>
    <t>Noncontrolling Interests - Total - Balance Sheet</t>
  </si>
  <si>
    <t>fnd6_newa2v1300_oancf</t>
  </si>
  <si>
    <t>fnd6_newa2v1300_spi</t>
  </si>
  <si>
    <t>Special Items</t>
  </si>
  <si>
    <t>fnd6_eventv110_dteepsq</t>
  </si>
  <si>
    <t>Extinguishment of Debt Basic EPS Effect</t>
  </si>
  <si>
    <t>fnd6_txdbca</t>
  </si>
  <si>
    <t>Deferred Tax Asset - Current</t>
  </si>
  <si>
    <t>fnd6_txtubend</t>
  </si>
  <si>
    <t>Unrecog. Tax Benefits - End of Year</t>
  </si>
  <si>
    <t>fnd6_newa1v1300_apalch</t>
  </si>
  <si>
    <t>Accounts Payable and Accrued Liabilities - Increase/(Decrease)</t>
  </si>
  <si>
    <t>fnd6_emps</t>
  </si>
  <si>
    <t>fnd6_pstkc</t>
  </si>
  <si>
    <t>Preferred Stock - Convertible</t>
  </si>
  <si>
    <t>fnd6_xpp</t>
  </si>
  <si>
    <t>Prepaid Expenses</t>
  </si>
  <si>
    <t>fnd6_newa1v1300_aoloch</t>
  </si>
  <si>
    <t>fnd6_newqeventv110_cheq</t>
  </si>
  <si>
    <t>fnd6_newqv1300_cshprq</t>
  </si>
  <si>
    <t>fnd6_newa2v1300_revt</t>
  </si>
  <si>
    <t>fnd6_newqv1300_stkcoq</t>
  </si>
  <si>
    <t>Stock Compensation Expense</t>
  </si>
  <si>
    <t>fnd6_newa2v1300_xint</t>
  </si>
  <si>
    <t>fnd6_cshr</t>
  </si>
  <si>
    <t>Common/Ordinary Shareholders</t>
  </si>
  <si>
    <t>fnd6_cptnewqv1300_actq</t>
  </si>
  <si>
    <t>fnd6_mfmq_cheq</t>
  </si>
  <si>
    <t>fnd6_nopio</t>
  </si>
  <si>
    <t>Nonoperating Income (Expense) - Other</t>
  </si>
  <si>
    <t>fnd6_cptmfmq_dpq</t>
  </si>
  <si>
    <t>fnd6_cptnewqv1300_dpq</t>
  </si>
  <si>
    <t>fnd6_mfma2_recch</t>
  </si>
  <si>
    <t>Accounts Receivable - Decrease (Increase)</t>
  </si>
  <si>
    <t>fnd6_mfma1_invch</t>
  </si>
  <si>
    <t>Mortgages - Decrease (Increase)</t>
  </si>
  <si>
    <t>fnd6_invwip</t>
  </si>
  <si>
    <t>Inventories - Work In Process</t>
  </si>
  <si>
    <t>fnd6_newa1v1300_dvc</t>
  </si>
  <si>
    <t>Dividends Common/Ordinary</t>
  </si>
  <si>
    <t>fnd6_fatc</t>
  </si>
  <si>
    <t>Plant, Property and Equipment at Cost - Construction in Progress</t>
  </si>
  <si>
    <t>fnd6_newqv1300_lseq</t>
  </si>
  <si>
    <t>Liabilities and Stockholders' Equity - Total</t>
  </si>
  <si>
    <t>fnd6_newa1v1300_ao</t>
  </si>
  <si>
    <t>Assets - Other</t>
  </si>
  <si>
    <t>fnd6_txtubsoflimit</t>
  </si>
  <si>
    <t>Lapse of Statute of Limitations</t>
  </si>
  <si>
    <t>fnd6_newqv1300_intanq</t>
  </si>
  <si>
    <t>fnd6_optprcca</t>
  </si>
  <si>
    <t>Options Cancelled - Price</t>
  </si>
  <si>
    <t>fnd6_newqv1300_rectaq</t>
  </si>
  <si>
    <t>Accum Other Comp Inc - Cumulative Translation Adjustments</t>
  </si>
  <si>
    <t>fnd6_cptnewqv1300_saleq</t>
  </si>
  <si>
    <t>fnd6_newa2v1300_rect</t>
  </si>
  <si>
    <t>fnd6_optprcey</t>
  </si>
  <si>
    <t>Options Outstanding End of Year - Price</t>
  </si>
  <si>
    <t>fnd6_dcvsub</t>
  </si>
  <si>
    <t>Debt - Subordinated Convertible</t>
  </si>
  <si>
    <t>fnd6_txr</t>
  </si>
  <si>
    <t>Income Tax Refund</t>
  </si>
  <si>
    <t>fnd6_dpvieb</t>
  </si>
  <si>
    <t>Depreciation (Accumulated) - Ending Balance (Schedule VI)</t>
  </si>
  <si>
    <t>fnd6_ivao</t>
  </si>
  <si>
    <t>Investment and Advances - Other</t>
  </si>
  <si>
    <t>fnd6_esopct</t>
  </si>
  <si>
    <t>Common ESOP Obligation - Total</t>
  </si>
  <si>
    <t>fnd6_fiao</t>
  </si>
  <si>
    <t>Financing Activities - Other</t>
  </si>
  <si>
    <t>fnd6_newa2v1300_stkco</t>
  </si>
  <si>
    <t>fnd6_txdc</t>
  </si>
  <si>
    <t>Deferred Taxes (Cash Flow)</t>
  </si>
  <si>
    <t>fnd6_newqv1300_oepsxq</t>
  </si>
  <si>
    <t>fnd6_newqv1300_txtq</t>
  </si>
  <si>
    <t>fnd6_newa1v1300_invch</t>
  </si>
  <si>
    <t>fnd6_newa2v1300_re</t>
  </si>
  <si>
    <t>fnd6_tstkc</t>
  </si>
  <si>
    <t>Treasury Stock - Common</t>
  </si>
  <si>
    <t>fnd6_invrm</t>
  </si>
  <si>
    <t>Inventories - Raw Materials</t>
  </si>
  <si>
    <t>fnd6_newa2v1300_sale</t>
  </si>
  <si>
    <t>fnd6_ppeveb</t>
  </si>
  <si>
    <t>Property, Plant, and Equipment - Ending Balance (Schedule V)</t>
  </si>
  <si>
    <t>fnd6_newa1v1300_invt</t>
  </si>
  <si>
    <t>fnd6_newqv1300_gdwlq</t>
  </si>
  <si>
    <t>fnd6_newqv1300_txditcq</t>
  </si>
  <si>
    <t>Deferred Taxes and Investment Tax Credit</t>
  </si>
  <si>
    <t>fnd6_newa1v1300_intano</t>
  </si>
  <si>
    <t>fnd6_prchq</t>
  </si>
  <si>
    <t>Price High - Quarter</t>
  </si>
  <si>
    <t>fnd6_newqv1300_cshiq</t>
  </si>
  <si>
    <t>Common Shares Issued</t>
  </si>
  <si>
    <t>fnd6_mfma1_apalch</t>
  </si>
  <si>
    <t>fnd6_newa2v1300_xrd</t>
  </si>
  <si>
    <t>fnd6_newa1v1300_lse</t>
  </si>
  <si>
    <t>Liabilities and Stockholders Equity - Total</t>
  </si>
  <si>
    <t>fnd6_dxd3</t>
  </si>
  <si>
    <t>Debt (excl Capitalized Leases) - Due in 3rd Year</t>
  </si>
  <si>
    <t>fnd6_newqv1300_cipenq</t>
  </si>
  <si>
    <t>Comp Inc - Minimum Pension Adj</t>
  </si>
  <si>
    <t>fnd6_newqv1300_piq</t>
  </si>
  <si>
    <t>fnd6_esubc</t>
  </si>
  <si>
    <t>Equity in Net Loss - Earnings</t>
  </si>
  <si>
    <t>fnd6_newqv1300_invtq</t>
  </si>
  <si>
    <t>fnd6_newqv1300_epspxq</t>
  </si>
  <si>
    <t>Earnings Per Share (Basic) - Excluding Extraordinary Items</t>
  </si>
  <si>
    <t>fnd6_newqv1300_ivltq</t>
  </si>
  <si>
    <t>Total Long-term Investments</t>
  </si>
  <si>
    <t>fnd6_txc</t>
  </si>
  <si>
    <t>Income Taxes - Current</t>
  </si>
  <si>
    <t>fnd6_newqv1300_dlcq</t>
  </si>
  <si>
    <t>Debt In Current Liabilities</t>
  </si>
  <si>
    <t>fnd6_txtubbegin</t>
  </si>
  <si>
    <t>Unrecog. Tax Benefits - Beg of Year</t>
  </si>
  <si>
    <t>fnd6_txtubpospdec</t>
  </si>
  <si>
    <t>Decrease - Prior Tax Positions</t>
  </si>
  <si>
    <t>fnd6_fato</t>
  </si>
  <si>
    <t>Plant, Property and Equipment at Cost - Other</t>
  </si>
  <si>
    <t>fnd6_newa1v1300_csho</t>
  </si>
  <si>
    <t>fnd6_newqv1300_csh12q</t>
  </si>
  <si>
    <t>Common Shares Used to Calculate Earnings Per Share - 12 Months Moving</t>
  </si>
  <si>
    <t>fnd6_newa2v1300_txt</t>
  </si>
  <si>
    <t>fnd6_mfmq_ibcomq</t>
  </si>
  <si>
    <t>Income Before Extraordinary Items - Available for Common</t>
  </si>
  <si>
    <t>fnd6_cptnewqv1300_req</t>
  </si>
  <si>
    <t>fnd6_fatp</t>
  </si>
  <si>
    <t>Plant, Property and Equipment at Cost - Land &amp; Improvements</t>
  </si>
  <si>
    <t>fnd6_mfma1_dp</t>
  </si>
  <si>
    <t>Depreciation and Amortization</t>
  </si>
  <si>
    <t>fnd6_newqv1300_cstkq</t>
  </si>
  <si>
    <t>fnd6_newqeventv110_cshopq</t>
  </si>
  <si>
    <t>Total Shares Repurchased - Quarter</t>
  </si>
  <si>
    <t>fnd6_newqv1300_xintq</t>
  </si>
  <si>
    <t>fnd6_newqv1300_lul3q</t>
  </si>
  <si>
    <t>Liabilities Level 3 (Unobservable)</t>
  </si>
  <si>
    <t>fnd6_newqv1300_ciq</t>
  </si>
  <si>
    <t>fnd6_newqv1300_miiq</t>
  </si>
  <si>
    <t>Noncontrolling Interest - Income Account</t>
  </si>
  <si>
    <t>fnd6_newa1v1300_ceqt</t>
  </si>
  <si>
    <t>Common Equity - Tangible</t>
  </si>
  <si>
    <t>fnd6_txndbl</t>
  </si>
  <si>
    <t>Net Deferred Tax Liability</t>
  </si>
  <si>
    <t>fnd6_newqeventv110_stkcoq</t>
  </si>
  <si>
    <t>fnd6_newa2v1300_wcap</t>
  </si>
  <si>
    <t>fnd6_newqv1300_ltmibq</t>
  </si>
  <si>
    <t>Liabilities - Total and Noncontrolling Interest</t>
  </si>
  <si>
    <t>fnd6_invfg</t>
  </si>
  <si>
    <t>Inventories - Finished Goods</t>
  </si>
  <si>
    <t>fnd6_mfmq_cogsq</t>
  </si>
  <si>
    <t>fnd6_dn</t>
  </si>
  <si>
    <t>Debt - Notes</t>
  </si>
  <si>
    <t>fnd6_newqv1300_altoq</t>
  </si>
  <si>
    <t>Other Long-term Assets</t>
  </si>
  <si>
    <t>fnd6_newa1v1300_icapt</t>
  </si>
  <si>
    <t>Invested Capital - Total</t>
  </si>
  <si>
    <t>fnd6_newqeventv110_acchgq</t>
  </si>
  <si>
    <t>Accounting Changes - Cumulative Effect</t>
  </si>
  <si>
    <t>fnd6_intpn</t>
  </si>
  <si>
    <t>Interest Paid - Net</t>
  </si>
  <si>
    <t>fnd6_txdi</t>
  </si>
  <si>
    <t>Income Taxes - Deferred</t>
  </si>
  <si>
    <t>fnd6_newa1v1300_epspx</t>
  </si>
  <si>
    <t>fnd6_newqv1300_revtq</t>
  </si>
  <si>
    <t>fnd6_newa1v1300_ivncf</t>
  </si>
  <si>
    <t>fnd6_mfma2_txach</t>
  </si>
  <si>
    <t>Income Taxes - Accrued - Increase/(Decrease)</t>
  </si>
  <si>
    <t>fnd6_sppiv</t>
  </si>
  <si>
    <t>Sale of Property, Plant and Equipment and Investments - Gain (Loss)</t>
  </si>
  <si>
    <t>fnd6_ivst</t>
  </si>
  <si>
    <t>Short-Term Investments - Total</t>
  </si>
  <si>
    <t>fnd6_prch</t>
  </si>
  <si>
    <t>Price High - Annual</t>
  </si>
  <si>
    <t>fnd6_xpr</t>
  </si>
  <si>
    <t>Pension and Retirement Expense</t>
  </si>
  <si>
    <t>fnd6_newa1v1300_ebitda</t>
  </si>
  <si>
    <t>fnd6_newa2v1300_recch</t>
  </si>
  <si>
    <t>fnd6_dilavx</t>
  </si>
  <si>
    <t>fnd6_newqv1300_cogsq</t>
  </si>
  <si>
    <t>fnd6_newa1v1300_dv</t>
  </si>
  <si>
    <t>fnd6_rank</t>
  </si>
  <si>
    <t>SP rank with mapping: // 0---Invalid rank // 1---A+ // 2---A // 3---A- // 4---B+ // 5---B // 6---B- // 7---C+ // 8---C // 9---C-</t>
  </si>
  <si>
    <t>fnd6_newqv1300_loxdrq</t>
  </si>
  <si>
    <t>fnd6_newqv1300_ibq</t>
  </si>
  <si>
    <t>fnd6_newqv1300_epspiq</t>
  </si>
  <si>
    <t>fnd6_txdfed</t>
  </si>
  <si>
    <t>Deferred Taxes - Federal</t>
  </si>
  <si>
    <t>fnd6_idit</t>
  </si>
  <si>
    <t>Interest and Related Income - Total</t>
  </si>
  <si>
    <t>fnd6_newqv1300_txpq</t>
  </si>
  <si>
    <t>Income Taxes Payable</t>
  </si>
  <si>
    <t>fnd6_siv</t>
  </si>
  <si>
    <t>Sale of Investments</t>
  </si>
  <si>
    <t>fnd6_newa1v1300_che</t>
  </si>
  <si>
    <t>fnd6_newqeventv110_xrdq</t>
  </si>
  <si>
    <t>fnd6_npq</t>
  </si>
  <si>
    <t>fnd6_prstkc</t>
  </si>
  <si>
    <t>Purchase of Common and Preferred Stock</t>
  </si>
  <si>
    <t>fnd6_newa1v1300_aociother</t>
  </si>
  <si>
    <t>Accum Other Comp Inc - Other Adjustments</t>
  </si>
  <si>
    <t>fnd6_newa2v1300_pi</t>
  </si>
  <si>
    <t>fnd6_eventv110_cstkcvq</t>
  </si>
  <si>
    <t>Common Stock - Carrying Value</t>
  </si>
  <si>
    <t>fnd6_newa2v1300_txdb</t>
  </si>
  <si>
    <t>Deferred Taxes - Balance Sheet</t>
  </si>
  <si>
    <t>fnd6_txndba</t>
  </si>
  <si>
    <t>Net Deferred Tax Asset</t>
  </si>
  <si>
    <t>fnd6_cimii</t>
  </si>
  <si>
    <t>Comprehensive Income - Noncontrolling Interest</t>
  </si>
  <si>
    <t>fnd6_txtubsettle</t>
  </si>
  <si>
    <t>Settlements with Tax Authorities</t>
  </si>
  <si>
    <t>fnd6_newqeventv110_optfvgrq</t>
  </si>
  <si>
    <t>fnd6_aqs</t>
  </si>
  <si>
    <t>Acquisitions - Sales Contribution</t>
  </si>
  <si>
    <t>fnd6_newa1v1300_gdwl</t>
  </si>
  <si>
    <t>Goodwill</t>
  </si>
  <si>
    <t>fnd6_newqeventv110_aociderglq</t>
  </si>
  <si>
    <t>Accumulated Other Comprehensive Income - Derivatives Unrealized Gain/Loss</t>
  </si>
  <si>
    <t>fnd6_newqv1300_tstknq</t>
  </si>
  <si>
    <t>Treasury Stock - Number of Common Shares</t>
  </si>
  <si>
    <t>fnd6_newqeventv110_dlcq</t>
  </si>
  <si>
    <t>fnd6_newqeventv110_dteaq</t>
  </si>
  <si>
    <t>Extinguishment of Debt After-tax</t>
  </si>
  <si>
    <t>fnd6_tlcf</t>
  </si>
  <si>
    <t>Tax Loss Carry Forward</t>
  </si>
  <si>
    <t>fnd6_newqv1300_lqpl1q</t>
  </si>
  <si>
    <t>Liabilities Level 1 (Quoted Prices)</t>
  </si>
  <si>
    <t>fnd6_dltp</t>
  </si>
  <si>
    <t>Long-Term Debt - Tied to Prime</t>
  </si>
  <si>
    <t>fnd6_fate</t>
  </si>
  <si>
    <t>Plant, Property and Equipment at Cost - Machinery &amp; Equipment</t>
  </si>
  <si>
    <t>fnd6_newa1v1300_ebit</t>
  </si>
  <si>
    <t>Earnings Before Interest and Taxes</t>
  </si>
  <si>
    <t>fnd6_newqv1300_msaq</t>
  </si>
  <si>
    <t>Accumulated Other Comprehensive Income - Marketable Security Adjustments</t>
  </si>
  <si>
    <t>fnd6_newqv1300_acoq</t>
  </si>
  <si>
    <t>fnd6_newqv1300_rectrq</t>
  </si>
  <si>
    <t>fnd6_cptnewqeventv110_nopiq</t>
  </si>
  <si>
    <t>fnd6_newqv1300_cibegniq</t>
  </si>
  <si>
    <t>fnd6_txdba</t>
  </si>
  <si>
    <t>Deferred Tax Asset - Long Term</t>
  </si>
  <si>
    <t>fnd6_newa1v1300_caps</t>
  </si>
  <si>
    <t>fnd6_newqeventv110_rdipepsq</t>
  </si>
  <si>
    <t>In-Process R&amp;D Expense Basic EPS Effect</t>
  </si>
  <si>
    <t>fnd6_newqv1300_citotalq</t>
  </si>
  <si>
    <t>fnd6_newqv1300_ppegtq</t>
  </si>
  <si>
    <t>Property, Plant and Equipment - Total (Gross) - Quarterly</t>
  </si>
  <si>
    <t>fnd6_newa1v1300_aocipen</t>
  </si>
  <si>
    <t>Accum Other Comp Inc - Min Pension Liab Adj</t>
  </si>
  <si>
    <t>fnd6_ivstch</t>
  </si>
  <si>
    <t>Short-Term Investments - Change</t>
  </si>
  <si>
    <t>fnd6_sppe</t>
  </si>
  <si>
    <t>Sale of Property</t>
  </si>
  <si>
    <t>fnd6_dd4</t>
  </si>
  <si>
    <t>Debt Due in 4th Year</t>
  </si>
  <si>
    <t>fnd6_newqv1300_ibadjq</t>
  </si>
  <si>
    <t>Income Before Extraordinary Items - Adjusted for Common Stock Equivalents</t>
  </si>
  <si>
    <t>fnd6_newqv1300_invoq</t>
  </si>
  <si>
    <t>Inventory - Other</t>
  </si>
  <si>
    <t>fnd6_newqv1300_invfgq</t>
  </si>
  <si>
    <t>Inventory - Finished Goods</t>
  </si>
  <si>
    <t>fnd6_stkcpa</t>
  </si>
  <si>
    <t>After-tax stock compensation</t>
  </si>
  <si>
    <t>fnd6_dxd4</t>
  </si>
  <si>
    <t>Debt (excl Capitalized Leases) - Due in 4th Year</t>
  </si>
  <si>
    <t>fnd6_newqv1300_chq</t>
  </si>
  <si>
    <t>fnd6_newqv1300_invwipq</t>
  </si>
  <si>
    <t>Inventory - Work in Process</t>
  </si>
  <si>
    <t>fnd6_newa2v1300_txditc</t>
  </si>
  <si>
    <t>fnd6_newa1v1300_dp</t>
  </si>
  <si>
    <t>fnd6_dd5</t>
  </si>
  <si>
    <t>Debt Due in 5th Year</t>
  </si>
  <si>
    <t>fnd6_txtubadjust</t>
  </si>
  <si>
    <t>Other Unrecognized Tax Benefit Adjustment</t>
  </si>
  <si>
    <t>fnd6_newa1v1300_ano</t>
  </si>
  <si>
    <t>Assets Netting &amp; Other Adjustments</t>
  </si>
  <si>
    <t>fnd6_newa2v1300_nopi</t>
  </si>
  <si>
    <t>Nonoperating Income (Expense)</t>
  </si>
  <si>
    <t>fnd6_newqv1300_aociderglq</t>
  </si>
  <si>
    <t>Accum Other Comp Inc - Derivatives Unrealized Gain/Loss</t>
  </si>
  <si>
    <t>fnd6_eventv110_txdbclq</t>
  </si>
  <si>
    <t>fnd6_newa2v1300_txp</t>
  </si>
  <si>
    <t>fnd6_tfva</t>
  </si>
  <si>
    <t>Total Fair Value Assets</t>
  </si>
  <si>
    <t>fnd6_newqv1300_txdbaq</t>
  </si>
  <si>
    <t>fnd6_sics</t>
  </si>
  <si>
    <t>SIC Code</t>
  </si>
  <si>
    <t>fnd6_newqv1300_rectoq</t>
  </si>
  <si>
    <t>Receivables - Current Other incl Tax Refunds</t>
  </si>
  <si>
    <t>fnd6_newa1v1300_aul3</t>
  </si>
  <si>
    <t>Assets Level 3 (Unobservable)</t>
  </si>
  <si>
    <t>fnd6_newa1v1300_dpact</t>
  </si>
  <si>
    <t>Depreciation, Depletion and Amortization (Accumulated)</t>
  </si>
  <si>
    <t>fnd6_newqeventv110_dtepq</t>
  </si>
  <si>
    <t>Extinguishment of Debt Pretax</t>
  </si>
  <si>
    <t>fnd6_txndb</t>
  </si>
  <si>
    <t>Net Deferred Tax Asset (Liab) - Total</t>
  </si>
  <si>
    <t>fnd6_newqeventv110_rectrq</t>
  </si>
  <si>
    <t>fnd6_lul3</t>
  </si>
  <si>
    <t>fnd6_pidom</t>
  </si>
  <si>
    <t>Pretax Income - Domestic</t>
  </si>
  <si>
    <t>fnd6_pstkrv</t>
  </si>
  <si>
    <t>Preferred Stock - Redemption Value</t>
  </si>
  <si>
    <t>fnd6_txtubposinc</t>
  </si>
  <si>
    <t>Increase - Current Tax Positions</t>
  </si>
  <si>
    <t>fnd6_lqpl1</t>
  </si>
  <si>
    <t>fnd6_lol2</t>
  </si>
  <si>
    <t>Liabilities Level 2 (Observable)</t>
  </si>
  <si>
    <t>fnd6_newa1v1300_ib</t>
  </si>
  <si>
    <t>fnd6_invo</t>
  </si>
  <si>
    <t>Inventories - Other</t>
  </si>
  <si>
    <t>fnd6_txs</t>
  </si>
  <si>
    <t>Income Taxes - State</t>
  </si>
  <si>
    <t>fnd6_mkvalt</t>
  </si>
  <si>
    <t>Market Value - Total</t>
  </si>
  <si>
    <t>fnd6_newqeventv110_cshiq</t>
  </si>
  <si>
    <t>fnd6_newqeventv110_ltmibq</t>
  </si>
  <si>
    <t>fnd6_newqeventv110_revtq</t>
  </si>
  <si>
    <t>fnd6_newqv1300_aqpl1q</t>
  </si>
  <si>
    <t>Assets Level 1 (Quoted Prices)</t>
  </si>
  <si>
    <t>fnd6_newqv1300_rdipdq</t>
  </si>
  <si>
    <t>In-Process R&amp;D Expense Diluted EPS Effect</t>
  </si>
  <si>
    <t>fnd6_newqeventv110_glceepsq</t>
  </si>
  <si>
    <t>Gain/Loss on Sale (Core Earnings Adjusted) Basic EPS Effect</t>
  </si>
  <si>
    <t>fnd6_newqeventv110_intanoq</t>
  </si>
  <si>
    <t>fnd6_newqv1300_ibcomq</t>
  </si>
  <si>
    <t>fnd6_np</t>
  </si>
  <si>
    <t>Notes Payable - Short-Term Borrowings</t>
  </si>
  <si>
    <t>fnd6_newqeventv110_chq</t>
  </si>
  <si>
    <t>fnd6_newa1v1300_ibadj</t>
  </si>
  <si>
    <t>fnd6_txdfo</t>
  </si>
  <si>
    <t>Deferred Taxes - Foreign</t>
  </si>
  <si>
    <t>fnd6_aqi</t>
  </si>
  <si>
    <t>Acquisitions - Income Contribution</t>
  </si>
  <si>
    <t>fnd6_newa1v1300_aocidergl</t>
  </si>
  <si>
    <t>fnd6_newqeventv110_rdipq</t>
  </si>
  <si>
    <t>fnd6_newqeventv110_xidoq</t>
  </si>
  <si>
    <t>Extraordinary Items and Discontinued Operations</t>
  </si>
  <si>
    <t>fnd6_txfed</t>
  </si>
  <si>
    <t>Income Taxes - Federal</t>
  </si>
  <si>
    <t>fnd6_mfmq_mibtq</t>
  </si>
  <si>
    <t>Noncontrolling Interests - Total - Balance Sheet - Quarterly</t>
  </si>
  <si>
    <t>fnd6_newqv1300_cshoq</t>
  </si>
  <si>
    <t>fnd6_newqeventv110_rectoq</t>
  </si>
  <si>
    <t>Receivables - Current Other incl. Tax Refunds</t>
  </si>
  <si>
    <t>fnd6_dxd2</t>
  </si>
  <si>
    <t>Debt (excl Capitalized Leases) - Due in 2nd Year</t>
  </si>
  <si>
    <t>fnd6_newa1v1300_dvt</t>
  </si>
  <si>
    <t>Dividends - Total</t>
  </si>
  <si>
    <t>fnd6_fatn</t>
  </si>
  <si>
    <t>Property, Plant, and Equipment - Natural Resources at Cost</t>
  </si>
  <si>
    <t>fnd6_tfvl</t>
  </si>
  <si>
    <t>Total Fair Value Liabilities</t>
  </si>
  <si>
    <t>fnd6_txtubtxtr</t>
  </si>
  <si>
    <t>Impact on Effective Tax Rate</t>
  </si>
  <si>
    <t>fnd6_ivch</t>
  </si>
  <si>
    <t>Increase in Investments</t>
  </si>
  <si>
    <t>fnd6_newqv1300_aocipenq</t>
  </si>
  <si>
    <t>fnd6_newqv1300_aol2q</t>
  </si>
  <si>
    <t>Assets Level 2 (Observable)</t>
  </si>
  <si>
    <t>fnd6_newqv1300_loq</t>
  </si>
  <si>
    <t>Liabilities - Other</t>
  </si>
  <si>
    <t>fnd6_newqeventv110_rdipdq</t>
  </si>
  <si>
    <t>fnd6_newqv1300_spcedpq</t>
  </si>
  <si>
    <t>S&amp;P Core Earnings EPS Diluted - Preliminary</t>
  </si>
  <si>
    <t>fnd6_newa2v1300_spceeps</t>
  </si>
  <si>
    <t>S&amp;P Core Earnings EPS Basic</t>
  </si>
  <si>
    <t>fnd6_txds</t>
  </si>
  <si>
    <t>Deferred Taxes - State</t>
  </si>
  <si>
    <t>fnd6_newqv1300_dpactq</t>
  </si>
  <si>
    <t>fnd6_newqv1300_invrmq</t>
  </si>
  <si>
    <t>Inventory - Raw Materials</t>
  </si>
  <si>
    <t>fnd6_dlcch</t>
  </si>
  <si>
    <t>Current Debt - Changes</t>
  </si>
  <si>
    <t>fnd6_lno</t>
  </si>
  <si>
    <t>Liabilities Netting &amp; Other Adjustments</t>
  </si>
  <si>
    <t>fnd6_newa2v1300_tstk</t>
  </si>
  <si>
    <t>fnd6_newqv1300_cicurrq</t>
  </si>
  <si>
    <t>fnd6_newa1v1300_fca</t>
  </si>
  <si>
    <t>Foreign Exchange Income (Loss)</t>
  </si>
  <si>
    <t>fnd6_cptnewqeventv110_ltq</t>
  </si>
  <si>
    <t>fnd6_eventv110_xaccq</t>
  </si>
  <si>
    <t>fnd6_newqv1300_spcepq</t>
  </si>
  <si>
    <t>S&amp;P Core Earnings - Preliminary</t>
  </si>
  <si>
    <t>fnd6_newa1v1300_ibcom</t>
  </si>
  <si>
    <t>fnd6_newqv1300_prcraq</t>
  </si>
  <si>
    <t>fnd6_mfmq_dlcq</t>
  </si>
  <si>
    <t>fnd6_cptnewqeventv110_saleq</t>
  </si>
  <si>
    <t>fnd6_newqeventv110_cogsq</t>
  </si>
  <si>
    <t>fnd6_optvolq</t>
  </si>
  <si>
    <t>fnd6_newqv1300_wcapq</t>
  </si>
  <si>
    <t>fnd6_newqeventv110_spcep12</t>
  </si>
  <si>
    <t>S&amp;P Core Earnings 12MM - Preliminary</t>
  </si>
  <si>
    <t>fnd6_newqeventv110_altoq</t>
  </si>
  <si>
    <t>fnd6_txtubpospinc</t>
  </si>
  <si>
    <t>Increase - Prior Tax Positions</t>
  </si>
  <si>
    <t>fnd6_pstkl</t>
  </si>
  <si>
    <t>Preferred Stock - Liquidating Value</t>
  </si>
  <si>
    <t>fnd6_dxd5</t>
  </si>
  <si>
    <t>Debt (excl Capitalized Leases) - Due in 5th Year</t>
  </si>
  <si>
    <t>fnd6_newqeventv110_spioaq</t>
  </si>
  <si>
    <t>Other Special Items After-tax</t>
  </si>
  <si>
    <t>fnd6_txtubxintbs</t>
  </si>
  <si>
    <t>Interest &amp; Penalties Accrued - B/S</t>
  </si>
  <si>
    <t>fnd6_newqv1300_anoq</t>
  </si>
  <si>
    <t>fnd6_newqeventv110_glcea12</t>
  </si>
  <si>
    <t>Gain/Loss on Sale (Core Earnings Adjusted) After-tax 12MM</t>
  </si>
  <si>
    <t>fnd6_newqv1300_stkcpaq</t>
  </si>
  <si>
    <t>fnd6_oiadps</t>
  </si>
  <si>
    <t>Operating Income after Depreciation</t>
  </si>
  <si>
    <t>fnd6_optlifeq</t>
  </si>
  <si>
    <t>fnd6_newqeventv110_msaq</t>
  </si>
  <si>
    <t>Accum Other Comp Inc - Marketable Security Adjustments</t>
  </si>
  <si>
    <t>fnd6_newa1v1300_cshi</t>
  </si>
  <si>
    <t>fnd6_newqeventv110_aqpl1q</t>
  </si>
  <si>
    <t>fnd6_newqv1300_cisecglq</t>
  </si>
  <si>
    <t>fnd6_newqv1300_tfvaq</t>
  </si>
  <si>
    <t>fnd6_newa2v1300_tstkn</t>
  </si>
  <si>
    <t>fnd6_newa2v1300_spced</t>
  </si>
  <si>
    <t>S&amp;P Core Earnings EPS Diluted</t>
  </si>
  <si>
    <t>fnd6_newqv1300_ciderglq</t>
  </si>
  <si>
    <t>fnd6_newa1v1300_aol2</t>
  </si>
  <si>
    <t>fnd6_newqv1300_aul3q</t>
  </si>
  <si>
    <t>fnd6_newqeventv110_recdq</t>
  </si>
  <si>
    <t>fnd6_newa2v1300_txach</t>
  </si>
  <si>
    <t>fnd6_newa1v1300_aqpl1</t>
  </si>
  <si>
    <t>fnd6_newqv1300_tfvlq</t>
  </si>
  <si>
    <t>fnd6_eventv110_dtedq</t>
  </si>
  <si>
    <t>Extinguishment of Debt Diluted EPS Effect</t>
  </si>
  <si>
    <t>fnd6_newqeventv110_invtq</t>
  </si>
  <si>
    <t>fnd6_newqv1300_txdiq</t>
  </si>
  <si>
    <t>fnd6_newqv1300_tstkq</t>
  </si>
  <si>
    <t>fnd6_newqeventv110_glcedq</t>
  </si>
  <si>
    <t>Gain/Loss on Sale (Core Earnings Adjusted) Diluted EPS</t>
  </si>
  <si>
    <t>fnd6_newqv1300_optrfrq</t>
  </si>
  <si>
    <t>fnd6_cptnewqeventv110_dlttq</t>
  </si>
  <si>
    <t>fnd6_newqeventv110_pnrshoq</t>
  </si>
  <si>
    <t>Nonred Pfd Shares Outs (000) - Quarterly</t>
  </si>
  <si>
    <t>fnd6_newqeventv110_seteps12</t>
  </si>
  <si>
    <t>Settlement (Litigation/Insurance) Basic EPS Effect 12MM</t>
  </si>
  <si>
    <t>fnd6_optdrq</t>
  </si>
  <si>
    <t>fnd6_eventv110_setepsq</t>
  </si>
  <si>
    <t>Settlement (Litigation/Insurance) Basic EPS Effect</t>
  </si>
  <si>
    <t>fnd6_newqv1300_mibnq</t>
  </si>
  <si>
    <t>Non-Redeemable Noncontrolling Interest (Balance Sheet) - Quarterly</t>
  </si>
  <si>
    <t>fnd6_newqv1300_lol2q</t>
  </si>
  <si>
    <t>fnd6_txws</t>
  </si>
  <si>
    <t>fnd6_mkvaltq</t>
  </si>
  <si>
    <t>fnd6_newqv1300_rdipaq</t>
  </si>
  <si>
    <t>In Process R&amp;D Expense After-tax</t>
  </si>
  <si>
    <t>fnd6_newqeventv110_lcoq</t>
  </si>
  <si>
    <t>fnd6_newqv1300_spiq</t>
  </si>
  <si>
    <t>fnd6_eventv110_gldq</t>
  </si>
  <si>
    <t>Gain/Loss Diluted EPS Effect</t>
  </si>
  <si>
    <t>fnd6_newqeventv110_esoptq</t>
  </si>
  <si>
    <t>Preferred ESOP Obligation - Total</t>
  </si>
  <si>
    <t>fnd6_txtubxintis</t>
  </si>
  <si>
    <t>Interest &amp; Penalties Recognized - I/S</t>
  </si>
  <si>
    <t>fnd6_newqeventv110_glcepq</t>
  </si>
  <si>
    <t>Gain/Loss on Sale (Core Earnings Adjusted) Pretax</t>
  </si>
  <si>
    <t>fnd6_newqv1300_cimiiq</t>
  </si>
  <si>
    <t>fnd6_txts</t>
  </si>
  <si>
    <t>Income Taxes</t>
  </si>
  <si>
    <t>fnd6_newqeventv110_stkcpaq</t>
  </si>
  <si>
    <t>fnd6_newqv1300_mibtq</t>
  </si>
  <si>
    <t>fnd6_newqv1300_rcpq</t>
  </si>
  <si>
    <t>Restructuring Cost Pretax</t>
  </si>
  <si>
    <t>fnd6_sales</t>
  </si>
  <si>
    <t>Net Sales</t>
  </si>
  <si>
    <t>fnd6_txdbcl</t>
  </si>
  <si>
    <t>Deferred Tax Liability - Current</t>
  </si>
  <si>
    <t>fnd6_spce</t>
  </si>
  <si>
    <t>S&amp;P Core Earnings</t>
  </si>
  <si>
    <t>fnd6_cptnewqeventv110_epsx12</t>
  </si>
  <si>
    <t>fnd6_newa2v1300_xoptd</t>
  </si>
  <si>
    <t>Implied Option EPS Diluted</t>
  </si>
  <si>
    <t>fnd6_newqeventv110_teqq</t>
  </si>
  <si>
    <t>fnd6_capxs</t>
  </si>
  <si>
    <t>fnd6_snms</t>
  </si>
  <si>
    <t>Segment Name</t>
  </si>
  <si>
    <t>fnd6_newqv1300_cshopq</t>
  </si>
  <si>
    <t>fnd6_xints</t>
  </si>
  <si>
    <t>Interest Expense</t>
  </si>
  <si>
    <t>fnd6_newqeventv110_seqoq</t>
  </si>
  <si>
    <t>fnd6_newqeventv110_setd12</t>
  </si>
  <si>
    <t>Settlement (Litigation/Insurance) Diluted EPS Effect 12MM</t>
  </si>
  <si>
    <t>fnd6_newqv1300_rdipepsq</t>
  </si>
  <si>
    <t>fnd6_newqv1300_spceepspq</t>
  </si>
  <si>
    <t>S&amp;P Core Earnings EPS Basic - Preliminary</t>
  </si>
  <si>
    <t>fnd6_cptnewqeventv110_apq</t>
  </si>
  <si>
    <t>fnd6_cptrank_gvkeymap</t>
  </si>
  <si>
    <t>technical code for a company, no need to use it for research</t>
  </si>
  <si>
    <t>fnd6_xidos</t>
  </si>
  <si>
    <t>fnd6_newqeventv110_glced12</t>
  </si>
  <si>
    <t>Gain/Loss on Sale (Core Earnings Adjusted) Diluted EPS Effect 12MM</t>
  </si>
  <si>
    <t>fnd6_newqeventv110_pstkq</t>
  </si>
  <si>
    <t>Preferred/Preference Stock (Capital) - Total</t>
  </si>
  <si>
    <t>fnd6_newqeventv110_rdipaq</t>
  </si>
  <si>
    <t>fnd6_newqv1300_txdbq</t>
  </si>
  <si>
    <t>fnd6_newqeventv110_gdwlq</t>
  </si>
  <si>
    <t>fnd6_newqeventv110_tstknq</t>
  </si>
  <si>
    <t>fnd6_newqeventv110_oepf12</t>
  </si>
  <si>
    <t>fnd6_newqv1300_ivstq</t>
  </si>
  <si>
    <t>fnd6_newqeventv110_capsq</t>
  </si>
  <si>
    <t>fnd6_newqeventv110_spce12</t>
  </si>
  <si>
    <t>S&amp;P Core Earnings 12MM</t>
  </si>
  <si>
    <t>fnd6_newqeventv110_piq</t>
  </si>
  <si>
    <t>fnd6_newqeventv110_spceeps12</t>
  </si>
  <si>
    <t>S&amp;P Core Earnings EPS Basic 12MM</t>
  </si>
  <si>
    <t>fnd6_intseg</t>
  </si>
  <si>
    <t>Intersegment Eliminations</t>
  </si>
  <si>
    <t>fnd6_newqv1300_lnoq</t>
  </si>
  <si>
    <t>fnd6_revts</t>
  </si>
  <si>
    <t>Total Revenues</t>
  </si>
  <si>
    <t>fnd6_newqv1300_xoptq</t>
  </si>
  <si>
    <t>Implied Option Expense</t>
  </si>
  <si>
    <t>fnd6_newqeventv110_ibmiiq</t>
  </si>
  <si>
    <t>fnd6_newqeventv110_lul3q</t>
  </si>
  <si>
    <t>fnd6_spis</t>
  </si>
  <si>
    <t>fnd6_newqeventv110_acoq</t>
  </si>
  <si>
    <t>fnd6_newqeventv110_acomincq</t>
  </si>
  <si>
    <t>fnd6_cptnewqeventv110_oeps12</t>
  </si>
  <si>
    <t>fnd6_newqeventv110_xintq</t>
  </si>
  <si>
    <t>fnd6_newqeventv110_spceq</t>
  </si>
  <si>
    <t>fnd6_eventv110_setdq</t>
  </si>
  <si>
    <t>Settlement (Litigation/Insurance) Diluted EPS Effect</t>
  </si>
  <si>
    <t>fnd6_newqeventv110_ciotherq</t>
  </si>
  <si>
    <t>Comprehensive Income - Other Adjustments</t>
  </si>
  <si>
    <t>fnd6_eventv110_txdbcaq</t>
  </si>
  <si>
    <t>Current Deferred Tax Asset</t>
  </si>
  <si>
    <t>fnd6_newqv1300_tfvceq</t>
  </si>
  <si>
    <t>Total Fair Value Changes including Earnings</t>
  </si>
  <si>
    <t>fnd6_newqeventv110_aocisecglq</t>
  </si>
  <si>
    <t>Accum. Other Comp. Inc. - Unreal G/L Ret. Int. in Sec. Assets</t>
  </si>
  <si>
    <t>fnd6_newqeventv110_spceepsq</t>
  </si>
  <si>
    <t>fnd6_tfvce</t>
  </si>
  <si>
    <t>fnd6_newqeventv110_loq</t>
  </si>
  <si>
    <t>fnd6_eventv110_optdrq</t>
  </si>
  <si>
    <t>fnd6_newqeventv110_prshoq</t>
  </si>
  <si>
    <t>fnd6_newqeventv110_ciq</t>
  </si>
  <si>
    <t>fnd6_oelim</t>
  </si>
  <si>
    <t>Other Eliminations (Income)</t>
  </si>
  <si>
    <t>fnd6_xintopt</t>
  </si>
  <si>
    <t>fnd6_newqeventv110_aol2q</t>
  </si>
  <si>
    <t>fnd6_newqeventv110_spcepq</t>
  </si>
  <si>
    <t>fnd6_newqeventv110_invrmq</t>
  </si>
  <si>
    <t>fnd6_eventv110_glepsq</t>
  </si>
  <si>
    <t>Gain/Loss Basic EPS Effect</t>
  </si>
  <si>
    <t>fnd6_newqeventv110_intanq</t>
  </si>
  <si>
    <t>fnd6_newqeventv110_tfvlq</t>
  </si>
  <si>
    <t>fnd6_ptis</t>
  </si>
  <si>
    <t>fnd6_cptnewqeventv110_epsf12</t>
  </si>
  <si>
    <t>fnd6_dps</t>
  </si>
  <si>
    <t>fnd6_newqeventv110_cicurrq</t>
  </si>
  <si>
    <t>fnd6_newqeventv110_csh12q</t>
  </si>
  <si>
    <t>fnd6_newqeventv110_glceaq</t>
  </si>
  <si>
    <t>Gain/Loss on Sale (Core Earnings Adjusted) After-tax</t>
  </si>
  <si>
    <t>fnd6_newqeventv110_cshoq</t>
  </si>
  <si>
    <t>fnd6_newqeventv110_rcpq</t>
  </si>
  <si>
    <t>fnd6_newqv1300_fcaq</t>
  </si>
  <si>
    <t>fnd6_newqeventv110_cshprq</t>
  </si>
  <si>
    <t>fnd6_newqeventv110_dcomq</t>
  </si>
  <si>
    <t>fnd6_newqeventv110_pstkrq</t>
  </si>
  <si>
    <t>Preferred/Preference Stock - Redeemable</t>
  </si>
  <si>
    <t>fnd6_cptnewqeventv110_oibdpq</t>
  </si>
  <si>
    <t>fnd6_newqeventv110_loxdrq</t>
  </si>
  <si>
    <t>fnd6_cogss</t>
  </si>
  <si>
    <t>fnd6_newqeventv110_mibnq</t>
  </si>
  <si>
    <t>NonRedeemable Noncontrolling Interest (Balance Sheet) - Quarterly</t>
  </si>
  <si>
    <t>fnd6_newqeventv110_spcedq</t>
  </si>
  <si>
    <t>fnd6_newqeventv110_wcapq</t>
  </si>
  <si>
    <t>fnd6_newqeventv110_seqq</t>
  </si>
  <si>
    <t>fnd6_newqeventv110_aocipenq</t>
  </si>
  <si>
    <t>fnd6_newqeventv110_xoptq</t>
  </si>
  <si>
    <t>fnd6_newqeventv110_ivltq</t>
  </si>
  <si>
    <t>fnd6_eventv110_wdepsq</t>
  </si>
  <si>
    <t>Writedowns Basic EPS Effect</t>
  </si>
  <si>
    <t>fnd6_newqeventv110_epsfiq</t>
  </si>
  <si>
    <t>fnd6_cptnewqeventv110_opepsq</t>
  </si>
  <si>
    <t>fnd6_newqeventv110_cshfdq</t>
  </si>
  <si>
    <t>fnd6_newqeventv110_ppentq</t>
  </si>
  <si>
    <t>fnd6_caxts</t>
  </si>
  <si>
    <t>Cost and Expenses - Total</t>
  </si>
  <si>
    <t>fnd6_ops</t>
  </si>
  <si>
    <t>Operating Profit (Loss)</t>
  </si>
  <si>
    <t>fnd6_cptnewqeventv110_ceqq</t>
  </si>
  <si>
    <t>fnd6_eventv110_dd1q</t>
  </si>
  <si>
    <t>Long Term Debt Due in 1 Year</t>
  </si>
  <si>
    <t>fnd6_newqeventv110_esopctq</t>
  </si>
  <si>
    <t>fnd6_newqeventv110_glceeps12</t>
  </si>
  <si>
    <t>Gain/Loss on Sale (Core Earnings Adjusted) Basic EPS Effect 12MM</t>
  </si>
  <si>
    <t>fnd6_newqeventv110_invoq</t>
  </si>
  <si>
    <t>fnd6_rds</t>
  </si>
  <si>
    <t>Research and Development</t>
  </si>
  <si>
    <t>fnd6_cptnewqeventv110_epsfxq</t>
  </si>
  <si>
    <t>fnd6_eventv110_pnceps12</t>
  </si>
  <si>
    <t>Core Pension Adjustment Basic EPS Effect 12MM</t>
  </si>
  <si>
    <t>fnd6_newqeventv110_xoptdqp</t>
  </si>
  <si>
    <t>Implied Option EPS Diluted Preliminary</t>
  </si>
  <si>
    <t>fnd6_newqeventv110_cipenq</t>
  </si>
  <si>
    <t>fnd6_newqeventv110_xoptepsq</t>
  </si>
  <si>
    <t>Implied Option EPS Basic</t>
  </si>
  <si>
    <t>fnd6_cptnewqeventv110_oiadpq</t>
  </si>
  <si>
    <t>fnd6_newqeventv110_ivstq</t>
  </si>
  <si>
    <t>fnd6_newqeventv110_lseq</t>
  </si>
  <si>
    <t>fnd6_newqeventv110_pncpd12</t>
  </si>
  <si>
    <t>Core Pension Adjustment 12MM Diluted EPS Effect Preliminary</t>
  </si>
  <si>
    <t>fnd6_newqeventv110_pncpepsq</t>
  </si>
  <si>
    <t>Core Pension Adjustment Basic EPS Effect Preliminary</t>
  </si>
  <si>
    <t>fnd6_gdwls</t>
  </si>
  <si>
    <t>fnd6_newqeventv110_aoq</t>
  </si>
  <si>
    <t>fnd6_newqeventv110_xoprq</t>
  </si>
  <si>
    <t>fnd6_cptnewqeventv110_actq</t>
  </si>
  <si>
    <t>fnd6_cptnewqeventv110_atq</t>
  </si>
  <si>
    <t>fnd6_cptnewqeventv110_dpq</t>
  </si>
  <si>
    <t>fnd6_cptnewqeventv110_rectq</t>
  </si>
  <si>
    <t>fnd6_newqeventv110_aociotherq</t>
  </si>
  <si>
    <t>fnd6_newqeventv110_citotalq</t>
  </si>
  <si>
    <t>fnd6_newqeventv110_xoptd12p</t>
  </si>
  <si>
    <t>Implied Option 12MM EPS Diluted Preliminary</t>
  </si>
  <si>
    <t>fnd6_newqv1300_glcea12</t>
  </si>
  <si>
    <t>fnd6_ias</t>
  </si>
  <si>
    <t>Identifiable (Total) Assets</t>
  </si>
  <si>
    <t>fnd6_newqeventv110_cibegniq</t>
  </si>
  <si>
    <t>fnd6_newqeventv110_pncpq</t>
  </si>
  <si>
    <t>Core Pension Adjustment Preliminary</t>
  </si>
  <si>
    <t>fnd6_newqeventv110_xoptdq</t>
  </si>
  <si>
    <t>fnd6_eventv110_gdwlieps12</t>
  </si>
  <si>
    <t>Impairment of Goodwill Basic EPS Effect 12MM</t>
  </si>
  <si>
    <t>fnd6_newqeventv110_oepsxq</t>
  </si>
  <si>
    <t>fnd6_newqeventv110_xoptd12</t>
  </si>
  <si>
    <t>Implied Option EPS Diluted 12MM</t>
  </si>
  <si>
    <t>fnd6_newqeventv110_dilavq</t>
  </si>
  <si>
    <t>fnd6_newqeventv110_ppegtq</t>
  </si>
  <si>
    <t>fnd6_xsgas</t>
  </si>
  <si>
    <t>Selling, General &amp; Administrative</t>
  </si>
  <si>
    <t>fnd6_eventv110_spced12</t>
  </si>
  <si>
    <t>S&amp;P Core Earnings EPS Diluted 12MM</t>
  </si>
  <si>
    <t>fnd6_newqeventv110_gdwlia12</t>
  </si>
  <si>
    <t>Impairments of Goodwill After-Tax - 12MM</t>
  </si>
  <si>
    <t>fnd6_newqeventv110_xopteps12</t>
  </si>
  <si>
    <t>Implied Option EPS Basic 12MM</t>
  </si>
  <si>
    <t>fnd6_oibdps</t>
  </si>
  <si>
    <t>Operating Income before Depreciation</t>
  </si>
  <si>
    <t>fnd6_newqeventv110_epspxq</t>
  </si>
  <si>
    <t>fnd6_newqeventv110_wdaq</t>
  </si>
  <si>
    <t>Writedowns After-tax</t>
  </si>
  <si>
    <t>fnd6_eventv110_gdwlid12</t>
  </si>
  <si>
    <t>Impairments Diluted EPS - 12mm</t>
  </si>
  <si>
    <t>fnd6_newqeventv110_rectaq</t>
  </si>
  <si>
    <t>fnd6_newqeventv110_tfvaq</t>
  </si>
  <si>
    <t>fnd6_newqeventv110_spceepsp12</t>
  </si>
  <si>
    <t>S&amp;P Core 12MM EPS - Basic - Preliminary</t>
  </si>
  <si>
    <t>fnd6_newqeventv110_spiq</t>
  </si>
  <si>
    <t>fnd6_newqeventv110_xoptepsp12</t>
  </si>
  <si>
    <t>Implied Option 12MM EPS Basic Preliminary</t>
  </si>
  <si>
    <t>fnd6_newqeventv110_xsgaq</t>
  </si>
  <si>
    <t>fnd6_pncepsq</t>
  </si>
  <si>
    <t>Core Pension Adjustment Basic EPS Effect</t>
  </si>
  <si>
    <t>fnd6_eventv110_pncdq</t>
  </si>
  <si>
    <t>Core Pension Adjustment Diluted EPS Effect</t>
  </si>
  <si>
    <t>fnd6_eventv110_pncepsq</t>
  </si>
  <si>
    <t>fnd6_nxints</t>
  </si>
  <si>
    <t>Net Interest Income (Expense)</t>
  </si>
  <si>
    <t>fnd6_eventv110_pncd12</t>
  </si>
  <si>
    <t>Core Pension Adjustment Diluted EPS Effect 12MM</t>
  </si>
  <si>
    <t>fnd6_newqeventv110_lqpl1q</t>
  </si>
  <si>
    <t>fnd6_newqeventv110_spcepd12</t>
  </si>
  <si>
    <t>S&amp;P Core Earnings 12MM EPS Diluted - Preliminary</t>
  </si>
  <si>
    <t>fnd6_newqeventv110_txvwq</t>
  </si>
  <si>
    <t>fnd6_nopxs</t>
  </si>
  <si>
    <t>Nonoperating Income (Expense) - excluding Interest</t>
  </si>
  <si>
    <t>fnd6_newqeventv110_epspiq</t>
  </si>
  <si>
    <t>fnd6_newqeventv110_spceepspq</t>
  </si>
  <si>
    <t>fnd6_newqv1300_glceeps12</t>
  </si>
  <si>
    <t>fnd6_esubs</t>
  </si>
  <si>
    <t>Equity in Earnings</t>
  </si>
  <si>
    <t>fnd6_newqeventv110_anoq</t>
  </si>
  <si>
    <t>fnd6_newqeventv110_cisecglq</t>
  </si>
  <si>
    <t>fnd6_newqeventv110_dvpq</t>
  </si>
  <si>
    <t>Dividends - Preferred/Preference</t>
  </si>
  <si>
    <t>fnd6_nis</t>
  </si>
  <si>
    <t>fnd6_newqeventv110_esopnrq</t>
  </si>
  <si>
    <t>fnd6_newqeventv110_invfgq</t>
  </si>
  <si>
    <t>fnd6_newqeventv110_setpq</t>
  </si>
  <si>
    <t>Settlement (Litigation/Insurance) Pretax</t>
  </si>
  <si>
    <t>fnd6_newqeventv110_xopt12</t>
  </si>
  <si>
    <t>Implied Option Expense - 12mm</t>
  </si>
  <si>
    <t>fnd6_newqeventv110_xoptepsqp</t>
  </si>
  <si>
    <t>Implied Option EPS Basic Preliminary</t>
  </si>
  <si>
    <t>fnd6_ibs</t>
  </si>
  <si>
    <t>Income before Extraordinary Items</t>
  </si>
  <si>
    <t>fnd6_newqeventv110_aul3q</t>
  </si>
  <si>
    <t>fnd6_newqeventv110_invwipq</t>
  </si>
  <si>
    <t>fnd6_newqeventv110_pncpeps12</t>
  </si>
  <si>
    <t>Core Pension Adjustment 12MM Basic EPS Effect Preliminary</t>
  </si>
  <si>
    <t>fnd6_newqeventv110_reunaq</t>
  </si>
  <si>
    <t>fnd6_newqeventv110_txpq</t>
  </si>
  <si>
    <t>fnd6_newqeventv110_cimiiq</t>
  </si>
  <si>
    <t>fnd6_newqeventv110_miiq</t>
  </si>
  <si>
    <t>fnd6_newqeventv110_pncpdq</t>
  </si>
  <si>
    <t>Core Pension Adjustment Diluted EPS Effect Preliminary</t>
  </si>
  <si>
    <t>fnd6_dvrated</t>
  </si>
  <si>
    <t>Indicated Annual Dividend Rate - Daily</t>
  </si>
  <si>
    <t>fnd6_newqeventv110_cstkq</t>
  </si>
  <si>
    <t>fnd6_newqeventv110_icaptq</t>
  </si>
  <si>
    <t>fnd6_newqeventv110_prce12</t>
  </si>
  <si>
    <t>Core Post Retirement Adjustment 12MM</t>
  </si>
  <si>
    <t>fnd6_newqeventv110_xlq</t>
  </si>
  <si>
    <t>Extraordinary Items</t>
  </si>
  <si>
    <t>fnd6_newa2v1300_xopteps</t>
  </si>
  <si>
    <t>fnd6_newqeventv110_lltq</t>
  </si>
  <si>
    <t>fnd6_newqeventv110_pnc12</t>
  </si>
  <si>
    <t>Pension Core Adjustment - 12mm</t>
  </si>
  <si>
    <t>fnd6_newqeventv110_fcaq</t>
  </si>
  <si>
    <t>fnd6_newqeventv110_ibq</t>
  </si>
  <si>
    <t>fnd6_obs</t>
  </si>
  <si>
    <t>Order Backlog</t>
  </si>
  <si>
    <t>fnd6_ivaeqs</t>
  </si>
  <si>
    <t>Investments at Equity</t>
  </si>
  <si>
    <t>fnd6_newqeventv110_aqaq</t>
  </si>
  <si>
    <t>Acquisition/Merger After-Tax</t>
  </si>
  <si>
    <t>fnd6_newqeventv110_lol2q</t>
  </si>
  <si>
    <t>fnd6_newqeventv110_prcpdq</t>
  </si>
  <si>
    <t>Core Post-Retirement Adjustment Diluted EPS Effect Preliminary</t>
  </si>
  <si>
    <t>fnd6_newqeventv110_prcpq</t>
  </si>
  <si>
    <t>Core Post-Retirement Adjustment Preliminary</t>
  </si>
  <si>
    <t>fnd6_newqeventv110_dpactq</t>
  </si>
  <si>
    <t>fnd6_newqeventv110_nrtxtq</t>
  </si>
  <si>
    <t>Nonrecurring Income Taxes - After-tax</t>
  </si>
  <si>
    <t>fnd6_newqeventv110_seta12</t>
  </si>
  <si>
    <t>Settlement (Litigation/Insurance) After Tax - 12mm</t>
  </si>
  <si>
    <t>fnd6_newqeventv110_xoptqp</t>
  </si>
  <si>
    <t>Implied Option Expense Preliminary</t>
  </si>
  <si>
    <t>fnd6_newqeventv110_mibq</t>
  </si>
  <si>
    <t>Noncontrolling Interest - Redeemable - Balance Sheet</t>
  </si>
  <si>
    <t>fnd6_newqeventv110_spcedpq</t>
  </si>
  <si>
    <t>fnd6_newqeventv110_txtq</t>
  </si>
  <si>
    <t>fnd6_iints</t>
  </si>
  <si>
    <t>Interest Income</t>
  </si>
  <si>
    <t>fnd6_newqeventv110_glaq</t>
  </si>
  <si>
    <t>Gain/Loss After-Tax</t>
  </si>
  <si>
    <t>fnd6_newqeventv110_lnoq</t>
  </si>
  <si>
    <t>fnd6_newqeventv110_txditcq</t>
  </si>
  <si>
    <t>fnd6_newqv1300_spcepd12</t>
  </si>
  <si>
    <t>fnd6_pncdq</t>
  </si>
  <si>
    <t>fnd6_cptnewqeventv110_req</t>
  </si>
  <si>
    <t>fnd6_newqeventv110_ancq</t>
  </si>
  <si>
    <t>fnd6_newqeventv110_ibadjq</t>
  </si>
  <si>
    <t>fnd6_newq_xoptepsqp</t>
  </si>
  <si>
    <t>fnd6_newqeventv110_ciderglq</t>
  </si>
  <si>
    <t>Comprehensive Income - Derivative Gains/Losses</t>
  </si>
  <si>
    <t>fnd6_newqv1300_spcedq</t>
  </si>
  <si>
    <t>fnd6_newq_xoptqp</t>
  </si>
  <si>
    <t>fnd6_newqv1300_glced12</t>
  </si>
  <si>
    <t>fnd6_newqv1300_xoptepsq</t>
  </si>
  <si>
    <t>fnd6_newqeventv110_aqpq</t>
  </si>
  <si>
    <t>Acquisition/Merger Pretax</t>
  </si>
  <si>
    <t>fnd6_newqeventv110_pncq</t>
  </si>
  <si>
    <t>Core Pension Adjustment</t>
  </si>
  <si>
    <t>fnd6_newqv1300_prcdq</t>
  </si>
  <si>
    <t>Core Post Retirement Adjustment Diluted EPS Effect</t>
  </si>
  <si>
    <t>fnd6_newqeventv110_doq</t>
  </si>
  <si>
    <t>Discontinued Operations</t>
  </si>
  <si>
    <t>fnd6_newqeventv110_glpq</t>
  </si>
  <si>
    <t>Gain/Loss Pretax</t>
  </si>
  <si>
    <t>fnd6_newqeventv110_ibcomq</t>
  </si>
  <si>
    <t>fnd6_newqeventv110_prcpepsq</t>
  </si>
  <si>
    <t>Core Post-Retirement Adjustment Basic EPS Effect Preliminary</t>
  </si>
  <si>
    <t>fnd6_newqeventv110_txdbq</t>
  </si>
  <si>
    <t>fnd6_newqeventv110_hedgeglq</t>
  </si>
  <si>
    <t>Gain/Loss on Ineffective Hedges</t>
  </si>
  <si>
    <t>fnd6_newqeventv110_txdbaq</t>
  </si>
  <si>
    <t>fnd6_newqeventv110_gdwlamq</t>
  </si>
  <si>
    <t>Amortization of Goodwill</t>
  </si>
  <si>
    <t>fnd6_newqeventv110_prcaq</t>
  </si>
  <si>
    <t>Core Post-Retirement Adjustment</t>
  </si>
  <si>
    <t>fnd6_newqeventv110_spiopq</t>
  </si>
  <si>
    <t>Other Special Items Pretax</t>
  </si>
  <si>
    <t>fnd6_eventv110_aqepsq</t>
  </si>
  <si>
    <t>Acquisition/Merger Basic EPS Effect</t>
  </si>
  <si>
    <t>fnd6_newqeventv110_gdwliaq</t>
  </si>
  <si>
    <t>Impairment of Goodwill After-tax</t>
  </si>
  <si>
    <t>fnd6_newqv1300_pncq</t>
  </si>
  <si>
    <t>fnd6_newqv1300_prcepsq</t>
  </si>
  <si>
    <t>Core Post Retirement Adjustment Basic EPS Effect</t>
  </si>
  <si>
    <t>fnd6_newqeventv110_pnciepspq</t>
  </si>
  <si>
    <t>Core Pension Interest Adjustment Basic EPS Effect Preliminary</t>
  </si>
  <si>
    <t>fnd6_newqeventv110_rrpq</t>
  </si>
  <si>
    <t>Reversal - Restructuring/Acquisition Pretax</t>
  </si>
  <si>
    <t>fnd6_newqeventv110_txdiq</t>
  </si>
  <si>
    <t>fnd6_eventv110_wddq</t>
  </si>
  <si>
    <t>Writedowns Diluted EPS Effect</t>
  </si>
  <si>
    <t>fnd6_newqeventv110_gdwlipq</t>
  </si>
  <si>
    <t>Impairment of Goodwill Pretax</t>
  </si>
  <si>
    <t>fnd6_curcddv</t>
  </si>
  <si>
    <t>ISO Currency Code - Dividend</t>
  </si>
  <si>
    <t>fnd6_eventv110_nrtxtepsq</t>
  </si>
  <si>
    <t>Nonrecurring Income Taxes Basic EPS Effect</t>
  </si>
  <si>
    <t>fnd6_eventv110_spidq</t>
  </si>
  <si>
    <t>Other Special Items Diluted EPS Effect</t>
  </si>
  <si>
    <t>fnd6_eventv110_spiepsq</t>
  </si>
  <si>
    <t>Other Special Items Basic EPS Effect</t>
  </si>
  <si>
    <t>fnd6_ocaxs</t>
  </si>
  <si>
    <t>Other Costs and Expenses</t>
  </si>
  <si>
    <t>fnd6_eventv110_aqdq</t>
  </si>
  <si>
    <t>Acquisition/Merger Diluted EPS Effect</t>
  </si>
  <si>
    <t>fnd6_newqeventv110_mibtq</t>
  </si>
  <si>
    <t>fnd6_newqeventv110_prcdq</t>
  </si>
  <si>
    <t>Core Post-Retirement Adjustment Diluted EPS Effect</t>
  </si>
  <si>
    <t>fnd6_newqeventv110_setaq</t>
  </si>
  <si>
    <t>Settlement (Litigation/Insurance) After-tax</t>
  </si>
  <si>
    <t>fnd6_newqv1300_prcaq</t>
  </si>
  <si>
    <t>Core Post Retirement Adjustment</t>
  </si>
  <si>
    <t>fnd6_newqv1300_spceepsq</t>
  </si>
  <si>
    <t>fnd6_newqv1300_spcep12</t>
  </si>
  <si>
    <t>fnd6_newqv1300_spceq</t>
  </si>
  <si>
    <t>fnd6_eventv110_nrtxtdq</t>
  </si>
  <si>
    <t>Nonrecurring Income Taxes Diluted EPS Effect</t>
  </si>
  <si>
    <t>fnd6_newq_xoptdqp</t>
  </si>
  <si>
    <t>fnd6_newqeventv110_prceps12</t>
  </si>
  <si>
    <t>Core Post Retirement Adjustment Basic EPS Effect 12MM</t>
  </si>
  <si>
    <t>fnd6_newqeventv110_prcpd12</t>
  </si>
  <si>
    <t>Core Post-Retirement Adjustment 12MM Diluted EPS Effect Preliminary</t>
  </si>
  <si>
    <t>fnd6_eventv110_gdwlidq</t>
  </si>
  <si>
    <t>Impairment of Goodwill Diluted EPS Effect</t>
  </si>
  <si>
    <t>fnd6_newqeventv110_ibadj12</t>
  </si>
  <si>
    <t>fnd6_newqeventv110_pniapq</t>
  </si>
  <si>
    <t>Core Pension Interest Adjustment After-tax Preliminary</t>
  </si>
  <si>
    <t>fnd6_newqeventv110_pnciepsq</t>
  </si>
  <si>
    <t>Core Pension Interest Adjustment Basic EPS Effect</t>
  </si>
  <si>
    <t>fnd6_newqeventv110_pncipq</t>
  </si>
  <si>
    <t>Core Pension Interest Adjustment Pretax</t>
  </si>
  <si>
    <t>fnd6_newqeventv110_pncwiepq</t>
  </si>
  <si>
    <t>Core Pension Without Interest Adjustment Basic EPS Effect Preliminary</t>
  </si>
  <si>
    <t>fnd6_newqeventv110_rcaq</t>
  </si>
  <si>
    <t>Restructuring Cost After-tax</t>
  </si>
  <si>
    <t>fnd6_newqeventv110_rcepsq</t>
  </si>
  <si>
    <t>Restructuring Cost Basic EPS Effect</t>
  </si>
  <si>
    <t>fnd6_newqv1300_spcepsp12</t>
  </si>
  <si>
    <t>fnd6_newqv1300_xoptdq</t>
  </si>
  <si>
    <t>fnd6_salexg</t>
  </si>
  <si>
    <t>Export Sales</t>
  </si>
  <si>
    <t>fnd6_eventv110_pncidq</t>
  </si>
  <si>
    <t>Core Pension Interest Adjustment Diluted EPS Effect</t>
  </si>
  <si>
    <t>fnd6_newqeventv110_prcd12</t>
  </si>
  <si>
    <t>Core Post Retirement Adjustment Diluted EPS Effect 12 MM</t>
  </si>
  <si>
    <t>fnd6_divd</t>
  </si>
  <si>
    <t>Cash Dividends - Daily</t>
  </si>
  <si>
    <t>fnd6_eventv110_pncwiepsq</t>
  </si>
  <si>
    <t>Core Pension w/o Interest Adjustment Basic EPS Effect</t>
  </si>
  <si>
    <t>fnd6_newqeventv110_pncidpq</t>
  </si>
  <si>
    <t>Core Pension Interest Adjustment Diluted EPS Effect Preliminary</t>
  </si>
  <si>
    <t>fnd6_newqeventv110_pncwiapq</t>
  </si>
  <si>
    <t>Core Pension w/o Interest Adjustment After-tax Preliminary</t>
  </si>
  <si>
    <t>fnd6_newqeventv110_pncwidpq</t>
  </si>
  <si>
    <t>Core Pension w/o Interest Adjustment Diluted EPS Effect Preliminary</t>
  </si>
  <si>
    <t>fnd6_newqeventv110_prcpeps12</t>
  </si>
  <si>
    <t>Core Post-Retirement Adjustment 12MM Basic EPS Effect Preliminary</t>
  </si>
  <si>
    <t>fnd6_newqeventv110_rcdq</t>
  </si>
  <si>
    <t>Restructuring Cost Diluted EPS Effect</t>
  </si>
  <si>
    <t>fnd6_eventv110_gdwliepsq</t>
  </si>
  <si>
    <t>Impairment of Goodwill Basic EPS Effect</t>
  </si>
  <si>
    <t>fnd6_newqeventv110_pniaq</t>
  </si>
  <si>
    <t>Core Pension Interest Adjustment After-tax</t>
  </si>
  <si>
    <t>fnd6_newqeventv110_pncippq</t>
  </si>
  <si>
    <t>Core Pension Interest Adjustment Pretax Preliminary</t>
  </si>
  <si>
    <t>fnd6_newqeventv110_pncwiaq</t>
  </si>
  <si>
    <t>Core Pension w/o Interest Adjustment After-tax</t>
  </si>
  <si>
    <t>fnd6_newqeventv110_prcepsq</t>
  </si>
  <si>
    <t>fnd6_newqeventv110_tfvceq</t>
  </si>
  <si>
    <t>fnd6_eventv110_pncwidq</t>
  </si>
  <si>
    <t>Core Pension w/o Interest Adjustment Diluted EPS Effect</t>
  </si>
  <si>
    <t>fnd6_newqeventv110_pncwipq</t>
  </si>
  <si>
    <t>Core Pension Without Interest Adjustment Pretax</t>
  </si>
  <si>
    <t>fnd6_newqeventv110_pncwippq</t>
  </si>
  <si>
    <t>Core Pension w/o Interest Adjustment Pretax Preliminary</t>
  </si>
  <si>
    <t>pcr_vol_10</t>
  </si>
  <si>
    <t>Ratio of total put option volume to call option volume for options expiring in 10 days, reflecting very short-term sentiment flow</t>
  </si>
  <si>
    <t>🔴 Abandon</t>
  </si>
  <si>
    <t>Put-call ratio tested — no meaningful signal found.</t>
  </si>
  <si>
    <t>enterprise_value</t>
  </si>
  <si>
    <t>Enterprise Value</t>
  </si>
  <si>
    <t>COVID killed EV/EBITDA relationship. 2021+2022 both negative.</t>
  </si>
  <si>
    <t>debt</t>
  </si>
  <si>
    <t>Debt</t>
  </si>
  <si>
    <t>COVID stimulus inverted all leverage signals. Never use.</t>
  </si>
  <si>
    <t>ebit</t>
  </si>
  <si>
    <t>Negative IS. External PDF Sharpe unverifiable.</t>
  </si>
  <si>
    <t>bookvalue_ps</t>
  </si>
  <si>
    <t>Distorted by share buybacks. Weaker than sales_ps.</t>
  </si>
  <si>
    <t>return_assets</t>
  </si>
  <si>
    <t>Return on Assets</t>
  </si>
  <si>
    <t>COVID-distorted. Negative IS Sharpe.</t>
  </si>
  <si>
    <t>mdl177_garpanalystmodel_qgp_vfpriceratio</t>
  </si>
  <si>
    <t>Value to Price Rank — intrinsic valuation vs market price</t>
  </si>
  <si>
    <t>Model</t>
  </si>
  <si>
    <t>ts_rank(252) version submitted as Alpha 11 (MC3). IS Fitness 1.66, IS Sharpe 1.89. All years positive except 2023 slight dip. Near-zero corr with portfolio.</t>
  </si>
  <si>
    <t>mdl177_2_sensitivityfactor400_ttmocfev</t>
  </si>
  <si>
    <t>Trailing 12-month operating cash flow per share / enterprise value per share</t>
  </si>
  <si>
    <t>ts_rank(252) version submitted as Alpha 12 (M6). IS Fitness 1.22, IS Sharpe 1.72. All 5 years positive — most consistent yearly profile in tracker.</t>
  </si>
  <si>
    <t>mdl177_2_5yearrelativevaluefactor_rel5yfwdep</t>
  </si>
  <si>
    <t>5-year Relative Leading 12-Month Earnings Yield: next 4-quarter consensus analyst earnings-to-price ratio minus the 60-month average, scaled by the standard deviation</t>
  </si>
  <si>
    <t>Model - Analyst</t>
  </si>
  <si>
    <t>mdl177_fangma_gpam_usa_fangma_gpam11</t>
  </si>
  <si>
    <t>A composite or specialized metric summarizing growth or profitability characteristics for a group of prominent technology firms.</t>
  </si>
  <si>
    <t>mdl177_2_garpanalystmodel_qgp_capeff</t>
  </si>
  <si>
    <t>Measurement of how efficiently a company utilizes its capital/resources, ranked relative to peers</t>
  </si>
  <si>
    <t>Toxic</t>
  </si>
  <si>
    <t>IS 1.81. Corr 0.84 vs DV2c. Score -107. Permanently rejected.</t>
  </si>
  <si>
    <t>mdl177_fangma_rvm_usa_fangma_rvm6</t>
  </si>
  <si>
    <t>Relative value model 6 for FANGMA (Facebook, Apple, Netflix, Google, Microsoft, Amazon)</t>
  </si>
  <si>
    <t>mdl177_2_earningsqualityfactor_uap</t>
  </si>
  <si>
    <t>Difference between current accounts payable and expected level (prior year's balance multiplied by COGS growth in trailing 12 months), scaled by total assets</t>
  </si>
  <si>
    <t>mdl177_2_sensitivityfactor400_chg12msip</t>
  </si>
  <si>
    <t>Change in the short interest ratio (shares sold short / shares outstanding) over the previous 12 months</t>
  </si>
  <si>
    <t>IS -1.0. Dead.</t>
  </si>
  <si>
    <t>mdl177_2_liquidityriskfactor_si_ratio</t>
  </si>
  <si>
    <t>Ratio of shares sold short to average daily trading volume over the last 30 days</t>
  </si>
  <si>
    <t>mdl177_2_garpanalystmodel_qgp_vfpriceratio</t>
  </si>
  <si>
    <t>Ranking based on the ratio of intrinsic (fundamental, value-based) valuation to market price, indicating relative under/overvaluation</t>
  </si>
  <si>
    <t>mdl177_2_sensitivityfactor400_ney</t>
  </si>
  <si>
    <t>Normalized Earnings Yield: It is defined as the average of three normalized earnings calculated by ROE, NPM and EPS FY2, scaled by price.</t>
  </si>
  <si>
    <t>mdl177_earningsqualityfactor_uap</t>
  </si>
  <si>
    <t>Unexpected change in accounts payable, difference between current and expected accounts payable scaled by total assets</t>
  </si>
  <si>
    <t>mdl177_2_sensitivityfactor400_rev3my2std</t>
  </si>
  <si>
    <t>3-M Revision in FY2 EPS Forecasts: Dispersion Relative: It is defined as the change in a stock's current analysts mean earnings estimate for fiscal year 2 less that of three months ago, scaled by the standard deviation of analyst forecasts as of three months ago.</t>
  </si>
  <si>
    <t>IS -0.6. Dead.</t>
  </si>
  <si>
    <t>mdl177_2_deepvaluefactor_curep</t>
  </si>
  <si>
    <t>Current Earnings Yield (sum of recent 3 quarters EPS and analyst estimates, divided by price)</t>
  </si>
  <si>
    <t>mdl177_liquidityriskfactor_si_ratio_alt</t>
  </si>
  <si>
    <t>Short interest ratio: shares sold short divided by average daily volume over last 30 days; estimates days to cover shorts</t>
  </si>
  <si>
    <t>IS -0.74. Dead.</t>
  </si>
  <si>
    <t>mdl177_valueanalystmodel_qva_chgacc_alt</t>
  </si>
  <si>
    <t>Rank of change in net operating working capital for a stock compared to peers</t>
  </si>
  <si>
    <t>mdl177_2_managementqualityfactor_saleicap</t>
  </si>
  <si>
    <t>Trailing 12-month sales divided by invested capital</t>
  </si>
  <si>
    <t>IS 0.79. Dead. Full family abandoned.</t>
  </si>
  <si>
    <t>mdl177_2_deepvaluefactor_fcfp</t>
  </si>
  <si>
    <t>Leading 12-Month Median Earnings Yield</t>
  </si>
  <si>
    <t>mdl177_2_managementqualityfactor_noato</t>
  </si>
  <si>
    <t>Net operating asset turnover: trailing 12-month sales divided by 4-quarters average net operating assets (short-term debt + long-term debt + preferred equity + common equity - cash)</t>
  </si>
  <si>
    <t>IS 0.29. Dead.</t>
  </si>
  <si>
    <t>mdl177_deepvaluefactor_curep_alt</t>
  </si>
  <si>
    <t>Cash-to-Price</t>
  </si>
  <si>
    <t>mdl177_valueanalystmodel_qva_chgacc</t>
  </si>
  <si>
    <t>Rank of change in net operating working capital for the stock</t>
  </si>
  <si>
    <t>mdl177_garpanalystmodel_qgp_capeff</t>
  </si>
  <si>
    <t>Measurement of capital utilization efficiency, showing how effectively the company uses its capital for growth/profit</t>
  </si>
  <si>
    <t>IS 1.86. Same corr issue. Reject all capeff variants.</t>
  </si>
  <si>
    <t>mdl177_2_valueanalystmodel_qva_chgacc</t>
  </si>
  <si>
    <t>Rank based on change in net operating working capital, reflecting shifts in operational liquidity or efficiency</t>
  </si>
  <si>
    <t>mdl177_garpanalystmodel_qgp_relgrowth</t>
  </si>
  <si>
    <t>Rank comparing company's growth metrics against its industry peers, showing relative growth strength</t>
  </si>
  <si>
    <t>IS 0.98, Fit 0.61. Dead.</t>
  </si>
  <si>
    <t>mdl177_5shortsentimentfactor_act_util</t>
  </si>
  <si>
    <t>Actual Utilization Rate: the real observed proportion of shares lent out (actively used for short selling) versus available supply</t>
  </si>
  <si>
    <t>IS 0.03. Dead.</t>
  </si>
  <si>
    <t>mdl177_2_sensitivityfactor400_chginvavgast</t>
  </si>
  <si>
    <t>12-month change in quarterly total inventory, normalized by the average assets between the most recent quarter-end and the same quarter one year prior</t>
  </si>
  <si>
    <t>IS 0.36. Dead.</t>
  </si>
  <si>
    <t>mdl177_fa_app</t>
  </si>
  <si>
    <t>Average Payable Period: Average time (in days) taken to pay suppliers, calculated as trailing 12-month accounts payable times 365 divided by the trailing 12-month cost of goods sold</t>
  </si>
  <si>
    <t>mdl177_2_relativevaluemodel_ttmfcfp</t>
  </si>
  <si>
    <t>TTM Free Cash Flow-to-Price; trailing 12-month free cash flow per share divided by month-end trading price. Free cash flow is operating cash flow minus capital expenditures and cash dividends</t>
  </si>
  <si>
    <t>IS 1.90, Fit 1.58. Corr check pending — same var as DV5. High priority.</t>
  </si>
  <si>
    <t>mdl177_2_sensitivityfactor400_chgqtrepssurp</t>
  </si>
  <si>
    <t>Change in Real Earnings Surprise : It is defined as the change in quarterly earnings surprise (Actual EPS - Consensus Estimate EPS), scaled by the most recent closing price.</t>
  </si>
  <si>
    <t>IS -0.59. Dead.</t>
  </si>
  <si>
    <t>mdl177_relativevaluemodel_ttmfcfp</t>
  </si>
  <si>
    <t>Trailing Twelve Month Free Cash Flow-to-Price; trailing 12-month free cash flow per share divided by month-end trading price</t>
  </si>
  <si>
    <t>IS 1.90, Fit 1.58. Alt prefix. Likely same as mdl177_2 version.</t>
  </si>
  <si>
    <t>mdl177_2_vma2_vma2_va</t>
  </si>
  <si>
    <t>Value Analyst II composite score aggregating valuation-oriented subscores (Earnings Quality, Earnings Valuation, Financial Statement Valuation, Investor Sentiment)</t>
  </si>
  <si>
    <t>IS 1.78. VMA-2 submitted +141. VMA-1 (momentum) pending corr check.</t>
  </si>
  <si>
    <t>mdl177_fa_fc_fwdep</t>
  </si>
  <si>
    <t>Leading 12-Month Mean Earnings Yield: Next 4-quarter mean consensus earnings estimate divided by trading price</t>
  </si>
  <si>
    <t>IS 1.40, Fit 1.06 (FA-1). Corr check pending — similar to DV2c.</t>
  </si>
  <si>
    <t>mdl177_2_sensitivityfactor400_earnshortfall</t>
  </si>
  <si>
    <t>Earnings Shortfall : It is defined as the difference between reported accounting earnings and free cash flow, scaled by average assets.</t>
  </si>
  <si>
    <t>IS 0.72. Dead.</t>
  </si>
  <si>
    <t>mdl177_5shortsentimentfactor_dmd_conc</t>
  </si>
  <si>
    <t>Demand value concentration: degree to which borrowing demand is concentrated among a few borrowers</t>
  </si>
  <si>
    <t>IS 0.49. Dead.</t>
  </si>
  <si>
    <t>mdl177_deepvaluefactor_fcfp_alt</t>
  </si>
  <si>
    <t>mdl177_v1_400_yoychgda</t>
  </si>
  <si>
    <t>Year-over-year change in leverage: difference between most recent quarterly total liabilities as a percentage of total assets and the same percentage one year ago</t>
  </si>
  <si>
    <t>IS 0.39. Dead.</t>
  </si>
  <si>
    <t>mdl177_2_deepvaluefactor_estep</t>
  </si>
  <si>
    <t>Forward 12-month median earnings-to-price (earnings yield)</t>
  </si>
  <si>
    <t>mdl177_2_managementqualityfactor_app</t>
  </si>
  <si>
    <t>Average payable period: average trailing 12-month accounts payable times 365 divided by trailing 12-month cost of goods sold</t>
  </si>
  <si>
    <t>mdl177_2_earningmomentumfactor400_q1aepsg</t>
  </si>
  <si>
    <t>EPS growth estimate for next fiscal quarter</t>
  </si>
  <si>
    <t>IS 1.27, Fit 0.86. Just below threshold. Low priority.</t>
  </si>
  <si>
    <t>mdl177_2_deepvaluefactor_pdy</t>
  </si>
  <si>
    <t>Indicated dividend yield</t>
  </si>
  <si>
    <t>mdl177_5shortsentimentfactor_dmd_supply</t>
  </si>
  <si>
    <t>Demand-to-supply ratio in securities lending, indicating borrow demand relative to lendable supply</t>
  </si>
  <si>
    <t>IS 0.13. Dead.</t>
  </si>
  <si>
    <t>mdl177_valanalystmodel_qva_chgacc</t>
  </si>
  <si>
    <t>Change in Net Op Working Capital Rank</t>
  </si>
  <si>
    <t>mdl177_2_sensitivityfactor400_pbroeresidual</t>
  </si>
  <si>
    <t>Adjusted price-to-book signal incorporating firm growth, based on Wilcox and Philips (2005), representing the residual from combining price-to-book and return-on-equity</t>
  </si>
  <si>
    <t>mdl177_fa_fc_fcfp</t>
  </si>
  <si>
    <t>Forward Free Cash Flow-to-Price: Next 4-quarter mean consensus earnings estimate plus trailing 12-month depreciation expense per share minus capital expenditures, divided by trading price</t>
  </si>
  <si>
    <t>mdl177_garpanalystmodel_qgp_roefcf</t>
  </si>
  <si>
    <t>Combined measure of profitability (ROE) and cash flow (FCF), ranking stocks by both financial quality factors</t>
  </si>
  <si>
    <t>IS 1.59, Fit 1.22 — passed. Corr check pending before submit.</t>
  </si>
  <si>
    <t>mdl177_2_valueanalystmodel_qva_composite</t>
  </si>
  <si>
    <t>Composite rank combining multiple value analyst measures for overall scoring</t>
  </si>
  <si>
    <t>mdl177_historicalgrowthfactor_chgnpm_alt</t>
  </si>
  <si>
    <t>Most recent quarterly net profit margin minus net profit margin from four quarters ago</t>
  </si>
  <si>
    <t>IS 1.11, Fit 0.70. Dead.</t>
  </si>
  <si>
    <t>mdl177_2_sensitivityfactor400_rev3my1std</t>
  </si>
  <si>
    <t>The change in a stock's current analysts mean earnings estimate for fiscal year 1 less that of three months ago, scaled by the standard deviation of analyst forecasts as of three months ago.</t>
  </si>
  <si>
    <t>IS 0.02. Dead.</t>
  </si>
  <si>
    <t>mdl177_2_managementqualityfactor_ollev</t>
  </si>
  <si>
    <t>Operating liability leverage: 1 minus the ratio of (short-term debt + long-term debt + common equity + preferred equity - cash) to (total assets - cash) in the current quarter</t>
  </si>
  <si>
    <t>IS -0.03. Dead.</t>
  </si>
  <si>
    <t>mdl177_earningsqualityfactor_ttmaccu_alt</t>
  </si>
  <si>
    <t>Trailing twelve months accruals (earnings quality measure based on accruals)</t>
  </si>
  <si>
    <t>mdl177_fa_aspanratio</t>
  </si>
  <si>
    <t>Attention Span Ratio</t>
  </si>
  <si>
    <t>IS 0.65. Dead.</t>
  </si>
  <si>
    <t>mdl177_2_deepvaluefactor_fwdep</t>
  </si>
  <si>
    <t>Forward 12-month earnings-to-price ratio (mean consensus EPS divided by trading price)</t>
  </si>
  <si>
    <t>mdl177_deepvaluefactor_fwdep_alt</t>
  </si>
  <si>
    <t>Forward 12-month Earnings-to-Price: next four quarters' mean consensus EPS divided by price</t>
  </si>
  <si>
    <t>mdl177_2_surpriseanalystmodel_qsa_surpsn</t>
  </si>
  <si>
    <t>Rank of a company's earnings or revenue surprise, normalized relative to its sector (sector-neutral surprise analyst rank)</t>
  </si>
  <si>
    <t>IS 0.24. Dead.</t>
  </si>
  <si>
    <t>mdl177_deepvaluefactor_estep_alt</t>
  </si>
  <si>
    <t>TTM EBITDA-to-Price</t>
  </si>
  <si>
    <t>mdl177_surpriseanalystmodel_qsa_surpsn</t>
  </si>
  <si>
    <t>Surprise Analyst Sector-Neutral Rank</t>
  </si>
  <si>
    <t>mdl177_2_sensitivityfactor400_y2aepsgpc</t>
  </si>
  <si>
    <t>Percentage change in consensus analyst EPS forecast from fiscal year 1 to fiscal year 2, normalized by year 1 forecast (forward growth rate)</t>
  </si>
  <si>
    <t>IS -0.71. Dead.</t>
  </si>
  <si>
    <t>mdl177_2_pricemomentumfactor_indrelrtn5d</t>
  </si>
  <si>
    <t>Stock's 5-day return minus industry average 5-day return, scaled by industry standard deviation, reflecting industry-relative momentum</t>
  </si>
  <si>
    <t>mdl177_2_sensitivityfactor400_chg12mtotdebt</t>
  </si>
  <si>
    <t>Relative change in total debt (sum of long-term and short-term debt) over the past 12 months</t>
  </si>
  <si>
    <t>IS -0.21. Dead.</t>
  </si>
  <si>
    <t>mdl177_fangma_emf_usa_fangma_emf25</t>
  </si>
  <si>
    <t>Earnings momentum factors 25 for FANGMA (Facebook, Apple, Netflix, Google, Microsoft, Amazon)</t>
  </si>
  <si>
    <t>mdl177_historicalgrowthfactor_chgepsp_alt</t>
  </si>
  <si>
    <t>Difference between most recent trailing 12-month earnings per share and 4 quarters ago, divided by month-end trading price</t>
  </si>
  <si>
    <t>IS 0.08. Dead.</t>
  </si>
  <si>
    <t>mdl177_valanalystmodel_qva_shortfall</t>
  </si>
  <si>
    <t>Rank related to earnings shortfalls (occurrence/size)</t>
  </si>
  <si>
    <t>mdl177_2_deepvaluefactor_f12mepssev</t>
  </si>
  <si>
    <t>Forward 12-month earnings per share divided by enterprise value</t>
  </si>
  <si>
    <t>mdl177_valanalystmodel_qva_incstmt</t>
  </si>
  <si>
    <t>Income Stmt Rank</t>
  </si>
  <si>
    <t>IS 1.66. VA-1 submitted +290. VA-2 (momentum) pending corr check.</t>
  </si>
  <si>
    <t>mdl177_2_managementqualityfactor_aspanratio</t>
  </si>
  <si>
    <t>Quarterly operating assets minus operating liabilities, divided by lagged total assets</t>
  </si>
  <si>
    <t>IS -0.25. Dead.</t>
  </si>
  <si>
    <t>mdl177_2_sensitivityfactor400_dm</t>
  </si>
  <si>
    <t>A score representing financial distress risk, calculated using the Campbell, Hilscher and Szilagyi model and/or Chen and Zhang's model</t>
  </si>
  <si>
    <t>IS -0.05. Dead.</t>
  </si>
  <si>
    <t>mdl177_growthanalystmodel_qga_opmarginsales_alt</t>
  </si>
  <si>
    <t>The relationship between operating margin and sales, indicating operational profitability as a proportion of sales</t>
  </si>
  <si>
    <t>IS 0.70. Dead.</t>
  </si>
  <si>
    <t>mdl177_2_relativevaluemodel_fc_estep</t>
  </si>
  <si>
    <t>Leading 12-Month Median Earnings Yield; median consensus earnings estimate for the next fiscal year divided by trading price</t>
  </si>
  <si>
    <t>IS 1.45, Fit 1.12 (FA-2). Corr check pending — similar to DV13b.</t>
  </si>
  <si>
    <t>mdl177_valueanalystmodel_qva_composite_alt</t>
  </si>
  <si>
    <t>Overall composite rank summarizing multiple Value Analyst signals for a stock</t>
  </si>
  <si>
    <t>mdl177_2_garpanalystmodel_qgp_roefcf</t>
  </si>
  <si>
    <t>Combined rank measuring both Return on Equity and Free Cash Flow to capture quality and profitability</t>
  </si>
  <si>
    <t>IS 1.23, Fit 0.82. Borderline — try 126w next session.</t>
  </si>
  <si>
    <t>mdl177_fa_totalcov</t>
  </si>
  <si>
    <t>Total Coverage: Ratio that measures how well a company's cash flows, interest paid, and taxes can cover its interest and principal payments</t>
  </si>
  <si>
    <t>IS 0.05. Dead.</t>
  </si>
  <si>
    <t>mdl177_totalcov</t>
  </si>
  <si>
    <t>Total Coverage: It equals (Cash Flow from Operations + Interest Paid + Tax Paid) / (Interest + Principal Paid).</t>
  </si>
  <si>
    <t>mdl177_pricemomentumfactor_chgvolpre4y_alt</t>
  </si>
  <si>
    <t>Change in the most recent 6-month moving average of monthly turnover ratio compared to the 12-month moving average of monthly turnover ratio from 4 years ago</t>
  </si>
  <si>
    <t>mdl177_2_5yearrelativevaluefactor_rel5ybp</t>
  </si>
  <si>
    <t>5-year Relative Book-to-Market: current book-to-market minus the 60-month average, scaled by standard deviation</t>
  </si>
  <si>
    <t>mdl177_2_deepvaluefactor_ebitdaev</t>
  </si>
  <si>
    <t>Trailing 12-month EBITDA divided by enterprise value</t>
  </si>
  <si>
    <t>mdl177_industryrelativevaluefactor_curindbp_alt</t>
  </si>
  <si>
    <t>A stock's current book-to-price ratio minus the industry average, adjusted by dividing with the industry standard deviation (industry-relative book-to-market ratio standardized by industry)</t>
  </si>
  <si>
    <t>mdl177_v1_400_curindbp_</t>
  </si>
  <si>
    <t>Industry relative book-to-market ratio: stock's book-to-price ratio minus industry average, deflated by standard deviation for industry</t>
  </si>
  <si>
    <t>mdl77_opricemomentumfactor_chgvolpre4y</t>
  </si>
  <si>
    <t>4-Year Change in the Average Trading Volume: It is defined as the change in the most recent 6-month moving average of monthly turnover ratio (average monthly volume/trailing total shares outstanding) as compared to the 12-month moving average of monthl...</t>
  </si>
  <si>
    <t>mdl177_2_pricemomentumfactor_visiratio</t>
  </si>
  <si>
    <t>Stock's most recent daily volume divided by the average daily volume over prior 50 trading days, indicating current volume visibility or liquidity spike</t>
  </si>
  <si>
    <t>mdl177_earningmomentumfactor_numrevq1_alt</t>
  </si>
  <si>
    <t>Net number of analyst revisions for fiscal quarter one EPS estimates</t>
  </si>
  <si>
    <t>mdl77_2earningsqualityfactor_dpcapex</t>
  </si>
  <si>
    <t>Change in TTM Depreciation vs CapEx: It is defined as the absolute value of the difference between the yearly percent change in trailing 12-month depreciation expense and the yearly percent change in trailing 12-month capital expenditure.</t>
  </si>
  <si>
    <t>mdl177_vra2_qma_epsgrwth</t>
  </si>
  <si>
    <t>Ranking of earnings per share growth for US equities, representing the relative EPS growth signal among stocks in the universe</t>
  </si>
  <si>
    <t>mdl177_2_historicalgrowthfactor_chgepsp</t>
  </si>
  <si>
    <t>Change in trailing 12-month earnings per share over the past year, scaled by month-end trading price</t>
  </si>
  <si>
    <t>mdl177_2_valueanalystmodel_qva_incstmt</t>
  </si>
  <si>
    <t>Rank of operating income in relation to enterprise value based on income statement data</t>
  </si>
  <si>
    <t>mdl177_deepvaluefactor_ttmfcfp_alt</t>
  </si>
  <si>
    <t>TTM Free Cash Flow-to-Price: trailing 12-month free cash flow per share divided by trading price</t>
  </si>
  <si>
    <t>mdl177_historicalgrowthfactor_salesaccel4q</t>
  </si>
  <si>
    <t>Acceleration of sales growth measured over the last four quarters</t>
  </si>
  <si>
    <t>mdl177_2_sensitivityfactor400_ag</t>
  </si>
  <si>
    <t>Aggregate Gamma</t>
  </si>
  <si>
    <t>mdl177_2_momemtumanalystmodel_qma_chgnowc</t>
  </si>
  <si>
    <t>Rank of change in net working capital (current assets minus current liabilities), indicating how working capital shifts relative to peers</t>
  </si>
  <si>
    <t>mdl177_2_deepvaluemodel_indidivy</t>
  </si>
  <si>
    <t>Indicated dividend yield; the projected annual dividend divided by current stock price</t>
  </si>
  <si>
    <t>mdl77_2400_ga</t>
  </si>
  <si>
    <t>Aggregate Gamma: It is defined as the open interest weighted sum of the gamma for all options associated with a stock.</t>
  </si>
  <si>
    <t>mdl177_2_managementqualityfactor_nopatmargin</t>
  </si>
  <si>
    <t>Net operating profit after tax (NOPAT) margin: (Net Income + Interest Expense*(1-Effective Tax Rate)) divided by net sales, all for trailing 12 months</t>
  </si>
  <si>
    <t>mdl177_garpanalystmodel_qgp_avgrating</t>
  </si>
  <si>
    <t>Average of analyst ratings for the stock, reflecting overall analyst sentiment or recommendation</t>
  </si>
  <si>
    <t>mdl177_2_garpanalystmodel_qgp_relgrowth</t>
  </si>
  <si>
    <t>Rank comparing a stock's growth metrics to its peers, emphasizing relative growth within its universe</t>
  </si>
  <si>
    <t>mdl177_2_deepvaluemodel2_dv_currroe</t>
  </si>
  <si>
    <t>Current return on equity for the stock, computed as net income divided by shareholders' equity for the most recent reporting period</t>
  </si>
  <si>
    <t>mdl177_deepvaluefactor_ebop_alt</t>
  </si>
  <si>
    <t>Edwards-Bell-Ohlson Value-to-Price: valuation from the EBO model divided by market price</t>
  </si>
  <si>
    <t>mdl177_valueanalystmodel_qva_incstmt</t>
  </si>
  <si>
    <t>Rank based on operating income to enterprise value from income statement</t>
  </si>
  <si>
    <t>mdl177_deepvaluefactor_ttmocfp_alt</t>
  </si>
  <si>
    <t>TTM Operating Cash Flow-to-Price: trailing 12-month operating cash flow per share divided by trading price</t>
  </si>
  <si>
    <t>mdl177_valanalystmodel_qva_finstmt</t>
  </si>
  <si>
    <t>Financial Statement Rank</t>
  </si>
  <si>
    <t>mdl177_2_managementqualityfactor_acp</t>
  </si>
  <si>
    <t>Average collection period: average trailing 12-month accounts receivable times 365 divided by trailing 12-month sales</t>
  </si>
  <si>
    <t>mdl177_liquidityriskfactor_yoychgda_alt</t>
  </si>
  <si>
    <t>Year-over-year Change in Leverage : It is defined as the difference between the most recent reported quarterly total liabilities as a percentage of the reported total assets and the percentage for the same quarter one year ago.</t>
  </si>
  <si>
    <t>mdl177_relativevaluemodel_rvm_composite</t>
  </si>
  <si>
    <t>Composite score from the Relative Value Model, aggregating multiple relative value factors</t>
  </si>
  <si>
    <t>mdl177_historicalgrowthfactor_chg3yepsp_alt</t>
  </si>
  <si>
    <t>Difference between trailing 12-month earnings per share now and 12 quarters ago, divided by month-end trading price</t>
  </si>
  <si>
    <t>mdl177_deepvaluefactor_indidivy_alt</t>
  </si>
  <si>
    <t>Indicated Dividend Yield: expected annualized dividend divided by price</t>
  </si>
  <si>
    <t>mdl177_earningmomentumfactor_rev1q1_alt</t>
  </si>
  <si>
    <t>Change in EPS forecast for fiscal quarter one</t>
  </si>
  <si>
    <t>mdl177_deepvaluefactor_pdy_alt</t>
  </si>
  <si>
    <t>Indicated Dividend Yield</t>
  </si>
  <si>
    <t>mdl177_2_vma2_vma2_ma</t>
  </si>
  <si>
    <t>Momentum Analyst II composite score aggregating price momentum, earnings momentum, expectations, and fundamental growth signals</t>
  </si>
  <si>
    <t>mdl177_2_managementqualityfactor_cfroi</t>
  </si>
  <si>
    <t>Cash Flow Return on Invested Capital: trailing 12-month cash flow divided by average invested capital (common equity, long-term debt, minority interest, and preferred stock)</t>
  </si>
  <si>
    <t>mdl177_2_valuemomentummodel_financialstatementmodule</t>
  </si>
  <si>
    <t>Financial Statement Module</t>
  </si>
  <si>
    <t>mdl177_2_deepvaluefactor_navp</t>
  </si>
  <si>
    <t>Most recent net asset value per share divided by price</t>
  </si>
  <si>
    <t>mdl177_deepvaluefactor_bp_alt</t>
  </si>
  <si>
    <t>Book-to-Price: most recent book value per share divided by trading price</t>
  </si>
  <si>
    <t>mdl177_fangma_emf_usa_fangma_emf20</t>
  </si>
  <si>
    <t>Earnings momentum factors 20 for FANGMA (Facebook, Apple, Netflix, Google, Microsoft, Amazon)</t>
  </si>
  <si>
    <t>mdl177_2_sensitivityfactor400_impvol</t>
  </si>
  <si>
    <t>Implied volatility estimate derived from options markets for the stock, reflecting expected future market volatility</t>
  </si>
  <si>
    <t>mdl177_2_pricemomentummodel_pmm_composite</t>
  </si>
  <si>
    <t>A combined price momentum signal aggregating multiple price momentum metrics for a stock, used as an overall momentum indicator</t>
  </si>
  <si>
    <t>mdl177_2_liquidityriskfactor_booklev</t>
  </si>
  <si>
    <t>Book leverage ratio; reported quarterly total assets divided by book equity</t>
  </si>
  <si>
    <t>mdl177_historicalgrowthfactor_chg3yepsast_alt</t>
  </si>
  <si>
    <t>Difference in trailing 12-month earnings per share before extra items versus 12 quarters ago, adjusted by average total assets per share</t>
  </si>
  <si>
    <t>mdl177_2_managementqualityfactor_capexast</t>
  </si>
  <si>
    <t>Capital Expenditure-to-Total Assets: trailing 12-month capital expenditures divided by total assets from most recent quarter</t>
  </si>
  <si>
    <t>mdl177_liquidityriskfactor_flowratio_alt</t>
  </si>
  <si>
    <t>Flow ratio: (current assets - cash &amp; equivalents) divided by (current liabilities - short-term debt), measuring liquidity after excluding most liquid assets and debts</t>
  </si>
  <si>
    <t>mdl77_ohistoricalgrowthfactor_chg3yepsast</t>
  </si>
  <si>
    <t>3-yr Change in Assets-adj TTM EPS: It is defined as the trailing 12-month earnings per share before extra items (EPS) minus the EPS 12 quarters ago deflated by the average total assets per share.</t>
  </si>
  <si>
    <t>mdl77_liquidityriskfactor_flowratio</t>
  </si>
  <si>
    <t>Flow Ratio: It is defined as the difference between current assets and cash &amp; equivalents divided by the difference between current liabilities and short-term debt. All items are from the most recent quarter.</t>
  </si>
  <si>
    <t>mdl177_2_managementqualityfactor_indrelcroe_</t>
  </si>
  <si>
    <t>Stock's lagged quarterly return on equity minus the industry average ROE, normalized by industry ROE standard deviation</t>
  </si>
  <si>
    <t>mdl177_liquidityriskfactor_voldiff_pc_alt</t>
  </si>
  <si>
    <t>Difference between ATM put and call implied volatilities; signals option market sentiment and liquidity risk</t>
  </si>
  <si>
    <t>mdl177_fangma_gpam_usa_fangma_gpam10</t>
  </si>
  <si>
    <t>A metric measuring long-term growth or profitability performance for a set of leading technology companies.</t>
  </si>
  <si>
    <t>mdl177_historicalgrowthfactor_chgeps</t>
  </si>
  <si>
    <t>1-year change in assets-adjusted trailing twelve-month earnings per share before extra items (recent minus 4 quarters ago, divided by avg assets per share)</t>
  </si>
  <si>
    <t>mdl177_historicalgrowthfactor_chgis</t>
  </si>
  <si>
    <t>Difference between most recent inventory as a percentage of trailing 12-month sales and the same ratio 4 quarters ago</t>
  </si>
  <si>
    <t>mdl177_fa_chgnoa</t>
  </si>
  <si>
    <t>Change in Net Operating Assets</t>
  </si>
  <si>
    <t>mdl177_2_liquidityriskfactor_numest</t>
  </si>
  <si>
    <t>Number of financial analysts providing earnings estimates for the company for the current fiscal year</t>
  </si>
  <si>
    <t>mdl177_5shortsentimentfactor_onloan_conc</t>
  </si>
  <si>
    <t>On Loan Concentration: degree to which stocks on loan (for short selling) are concentrated in a few names, signifying crowding and potential risk in short positions</t>
  </si>
  <si>
    <t>Session 19 d1v9b: negative/weak sharpe. Do not retest.</t>
  </si>
  <si>
    <t>mdl177_2_vma2_vma2_ma_ee</t>
  </si>
  <si>
    <t>Earnings Expectations subscore within the Momentum Analyst II component, reflecting analyst forecasts and revisions momentum</t>
  </si>
  <si>
    <t>mdl177_earningmomentumfactor_qepsferr</t>
  </si>
  <si>
    <t>Prior fiscal quarter forecast error; difference between actual and estimated EPS for previous quarter</t>
  </si>
  <si>
    <t>mdl177_2_historicalgrowthfactor_chgnpm</t>
  </si>
  <si>
    <t>Change in net profit margin from one year ago (quarterly), calculated as the difference between most recent and year-ago net profit margin</t>
  </si>
  <si>
    <t>mdl177_deepvaluefactor_proformaep_alt</t>
  </si>
  <si>
    <t>TTM Pro Forma Earnings-to-Price: trailing 12-month adjusted/pro forma earnings divided by trading price</t>
  </si>
  <si>
    <t>mdl177_valuemomentummodel_vm_compositesn</t>
  </si>
  <si>
    <t>Value Momentum Composite SN</t>
  </si>
  <si>
    <t>mdl177_garpanalystmodel_qgp_valuation</t>
  </si>
  <si>
    <t>Rank showing the stock's valuation compared to peers, based on key valuation metrics</t>
  </si>
  <si>
    <t>mdl177_fa_ocfratio</t>
  </si>
  <si>
    <t>Operating Cash Flow Ratio: cash flow from operations divided by current liabilities</t>
  </si>
  <si>
    <t>mdl177_fa_ebitdaev</t>
  </si>
  <si>
    <t>TTM EBITDA-to-Enterprise Value: Trailing twelve-month EBITDA divided by enterprise value</t>
  </si>
  <si>
    <t>mdl177_deepvaluefactor_ttmfcev_alt</t>
  </si>
  <si>
    <t>TTM Free Cash Flow-to-Enterprise Value: trailing 12-month free cash flow divided by enterprise value</t>
  </si>
  <si>
    <t>mdl177_liquidityriskfactor_cashratio_alt</t>
  </si>
  <si>
    <t>Liquidity measure: Most recent quarter's cash and equivalents divided by current liabilities</t>
  </si>
  <si>
    <t>mdl177_2_relativevaluemodel_rvm_composite</t>
  </si>
  <si>
    <t>Relative Value Model Composite; overall composite score aggregating various relative value signals within the model</t>
  </si>
  <si>
    <t>mdl177_2_historicalgrowthfactor_chgopm</t>
  </si>
  <si>
    <t>Change in quarterly operating profit margin over the past year</t>
  </si>
  <si>
    <t>mdl177_2_surpriseanalystmodel_qsa_efficiency</t>
  </si>
  <si>
    <t>Fundamentals Rank</t>
  </si>
  <si>
    <t>mdl177_valueanalystmodel_qva_cashflow_alt</t>
  </si>
  <si>
    <t>Rank based on free cash flow relative to market capitalization</t>
  </si>
  <si>
    <t>mdl177_historicalgrowthfactor_pctchgeps_alt</t>
  </si>
  <si>
    <t>Percent change in trailing 12-month earnings per share before extra items now compared to 4 quarters ago</t>
  </si>
  <si>
    <t>mdl177_2_surpriseanalystmodel_qsa_estexpect</t>
  </si>
  <si>
    <t>Rank indicating the trend or direction of analyst estimate changes for a company (estimate trend rank)</t>
  </si>
  <si>
    <t>mdl77_ohistoricalgrowthfactor_pctchgeps</t>
  </si>
  <si>
    <t>The percent change in a stock's most recent trailing 12-month earnings per share before extra items as compared to itself 4 quarters ago.</t>
  </si>
  <si>
    <t>mdl177_fa_curratio</t>
  </si>
  <si>
    <t>Ratio of current assets to current liabilities from most recent quarter</t>
  </si>
  <si>
    <t>mdl177_earningmomentumfactor_surp</t>
  </si>
  <si>
    <t>Real earnings surprise; difference between actual and forecast EPS prior to announcement, scaled by price at quarter end</t>
  </si>
  <si>
    <t>mdl177_2_earningmomentumfactor400_perg</t>
  </si>
  <si>
    <t>Risk-adjusted PEG ratio: price divided by next year's EPS forecast, scaled by average long-term growth and multiplied by 36-month beta</t>
  </si>
  <si>
    <t>mdl177_2_managementqualityfactor_npm</t>
  </si>
  <si>
    <t>Net profit margin: most recent quarterly net income after tax divided by corresponding quarterly sales</t>
  </si>
  <si>
    <t>mdl177_v1_400_tobinq</t>
  </si>
  <si>
    <t>Tobin's Q: market value of equity plus debt divided by total assets; assesses whether market values firm's assets higher or lower than their cost</t>
  </si>
  <si>
    <t>mdl177_2_valuemomentummodel_earningsexpectationmodule</t>
  </si>
  <si>
    <t>A module tracking market expectations regarding the company's future earnings, often based on analyst forecasts or consensus estimates</t>
  </si>
  <si>
    <t>mdl77_chgnoa</t>
  </si>
  <si>
    <t>Change in Net Operating Assets: It is defined as the year-over-year change of net operating assets to total assets, where net operating assets equal most recent quarterly short-term debt plus long-term debt + preferred equity plus common equity minus cash</t>
  </si>
  <si>
    <t>mdl177_2_earningmomentumfactor400_salesurp</t>
  </si>
  <si>
    <t>Sales Surprise, indicating the difference between reported and expected sales</t>
  </si>
  <si>
    <t>mdl177_2_liquidityriskfactor_nlprice</t>
  </si>
  <si>
    <t>Natural logarithm of the cubic of a stock's unadjusted closing price</t>
  </si>
  <si>
    <t>mdl177_2_managementqualityfactor_astto</t>
  </si>
  <si>
    <t>Assets Turnover Ratio: trailing 12-month sales divided by most recently reported quarterly assets</t>
  </si>
  <si>
    <t>mdl177_pricemomentumfactor_indrelrtn5d_alt</t>
  </si>
  <si>
    <t>5-day industry-relative return; stock's return over last 5 days minus industry average, standardized by industry return standard deviation</t>
  </si>
  <si>
    <t>mdl177_earningsmomentummodel_fc_egp_alt</t>
  </si>
  <si>
    <t>Next 1-year average earnings estimate scaled by expected long-term growth rate and stock price (inverse PEG-type measure)</t>
  </si>
  <si>
    <t>mdl177_2_valuemomentummodel_reportedenarningsmomentummodule</t>
  </si>
  <si>
    <t>Reported Earnings Momentum Module</t>
  </si>
  <si>
    <t>mdl177_2_valuemomentummodel_earningsvaluationmodule</t>
  </si>
  <si>
    <t>Earnings Valuation Module</t>
  </si>
  <si>
    <t>mdl177_2_garpanalystmodel_qgp_valuation</t>
  </si>
  <si>
    <t>Ranking of a stock's valuation according to GARP analyst metrics, possibly considering price-to-earnings, price-to-book, etc.</t>
  </si>
  <si>
    <t>mdl177_valanalystmodel_qva_yoychgdebt</t>
  </si>
  <si>
    <t>Rank based on year-over-year change in debt issuance</t>
  </si>
  <si>
    <t>mdl177_2_historicalgrowthfactor_salesaccel4q</t>
  </si>
  <si>
    <t>Measure of acceleration in quarterly sales growth over the last 4 quarters</t>
  </si>
  <si>
    <t>mdl177_v1_400_ttmaccu</t>
  </si>
  <si>
    <t>Accounting accruals: trailing 12-month net income minus trailing 12-month operating cash flow, scaled by beginning total assets; measures...</t>
  </si>
  <si>
    <t>mdl177_v1_400_capexast</t>
  </si>
  <si>
    <t>Capital expenditure-to-total assets: trailing 12-month capital expenditures divided by total assets from most recent quarter</t>
  </si>
  <si>
    <t>mdl177_momemtumanalystmodel_qma_epsgrwth_alt</t>
  </si>
  <si>
    <t>Rank of earnings growth, measuring changes in trailing twelve month earnings per share scaled by the recent closing stock price (earnings yield, E/P)</t>
  </si>
  <si>
    <t>mdl177_momemtumanalystmodel_qma_chgnowc</t>
  </si>
  <si>
    <t>Rank of the change in Net Working Capital (NOWC), reflecting shifts in short-term operational liquidity over a recent period</t>
  </si>
  <si>
    <t>mdl177_valueanalystmodel_qva_finstmt</t>
  </si>
  <si>
    <t>Rank based on composite assessment of financial statements</t>
  </si>
  <si>
    <t>mdl177_earningmomentumfactor_fcfroey1p_alt</t>
  </si>
  <si>
    <t>Product of trailing twelve-month free cash flow yield per share and forward-looking return on equity (ROE), measuring company profitability and cash generation relative to price</t>
  </si>
  <si>
    <t>mdl177_2_5yearrelativevaluefactor_rel5ycoreepsp</t>
  </si>
  <si>
    <t>5-year Relative Trailing 12-Month Core Earnings-to-Price: current TTM core earnings-to-price minus the 60-month average, scaled by standard deviation</t>
  </si>
  <si>
    <t>mdl177_earningsqualityfactor_salerec</t>
  </si>
  <si>
    <t>Difference between yearly percent change in trailing 12-month sales and percent change in accounts receivable</t>
  </si>
  <si>
    <t>mdl177_valanalystmodel_qva_capexdep</t>
  </si>
  <si>
    <t>Capex to Depreciation Rank</t>
  </si>
  <si>
    <t>mdl177_2_managementqualityfactor_chgnoa</t>
  </si>
  <si>
    <t>Year-over-year change of net operating assets to total assets, where net operating assets equal short-term debt plus long-term debt plus preferred equity plus common equity minus cash</t>
  </si>
  <si>
    <t>mdl177_2_managementqualityfactor_yoychgroa</t>
  </si>
  <si>
    <t>Yearly Change in Return on Assets: most recent trailing 12-month net income before extra items as % of total assets, minus % for same quarter one year ago</t>
  </si>
  <si>
    <t>mdl177_2_valueanalystmodel_qva_finstmt</t>
  </si>
  <si>
    <t>Composite rank based on multiple financial statement metrics</t>
  </si>
  <si>
    <t>mdl177_liquidityriskfactor_ohlsonscore_alt</t>
  </si>
  <si>
    <t>Ohlson bankruptcy risk score, assessing probability of bankruptcy using financial ratios and firm characteristics</t>
  </si>
  <si>
    <t>mdl77_2surpriseanalystmodel_qsa_estexpect</t>
  </si>
  <si>
    <t>Estimate Trend Rank</t>
  </si>
  <si>
    <t>mdl177_multi_factor_acceleration_score_derivative</t>
  </si>
  <si>
    <t>Change in the acceleration of multi-factor score compared to previous period</t>
  </si>
  <si>
    <t>mdl177_historicalgrowthfactor_pctchg3yeps_alt</t>
  </si>
  <si>
    <t>Percent change in trailing 12-month earnings per share now compared to 12 quarters ago</t>
  </si>
  <si>
    <t>mdl177_momemtumanalystmodel_qma_earnxp_alt</t>
  </si>
  <si>
    <t>Rank reflecting analyst expectations, calculated as an equal-weighted average of analyst earnings revisions and ratings change ranks</t>
  </si>
  <si>
    <t>mdl177_valanalystmodel_qva_epmodule</t>
  </si>
  <si>
    <t>Earnings Cyclicality Rank</t>
  </si>
  <si>
    <t>mdl177_fangma_mam_usa_fangma_mam16</t>
  </si>
  <si>
    <t>Momentum analyst model 16 for FANGMA (Facebook, Apple, Netflix, Google, Microsoft, Amazon)</t>
  </si>
  <si>
    <t>mdl177_v1_400_uar</t>
  </si>
  <si>
    <t>Unexpected changes in accounts receivable: actual change in accounts receivable minus expected (prior year's closing balance multiplied by trailing 12-month sales growth), scaled by total assets</t>
  </si>
  <si>
    <t>mdl177_2_earningmomentumfactor400_numrevq1</t>
  </si>
  <si>
    <t>Net number of upward minus downward revisions for fiscal quarter 1 EPS forecasts</t>
  </si>
  <si>
    <t>mdl177_2_liquidityriskfactor_ocfratio</t>
  </si>
  <si>
    <t>Operating cash flow ratio; latest quarterly operating cash flow divided by current liabilities</t>
  </si>
  <si>
    <t>mdl177_2_liquidityriskfactor_bap20d</t>
  </si>
  <si>
    <t>20-day average of bid-ask spread divided by price, proxy for short-term liquidity</t>
  </si>
  <si>
    <t>mdl77_omomemtumanalystmodel_qma_earnxp</t>
  </si>
  <si>
    <t>Analyst Expectations Rank: It is defined as the equal-weighted average of the Earnings Revisions and the Ratings Change Ranks.</t>
  </si>
  <si>
    <t>mdl177_2_growthanalystmodel_qga_iarsales</t>
  </si>
  <si>
    <t>Inv Acc Rec to Sales Link</t>
  </si>
  <si>
    <t>mdl177_v1_400_pr_1536</t>
  </si>
  <si>
    <t>Ratio of 15-week moving average price to 36-week moving average price for a stock; momentum indicator over medium and long-term periods</t>
  </si>
  <si>
    <t>mdl177_garpanalystmodel_qgp_composite</t>
  </si>
  <si>
    <t>Combined score based on GARP-specific metrics, summarizing the overall attractiveness of a stock according to Growth at a Reasonable Price factors</t>
  </si>
  <si>
    <t>mdl177_liquidityriskfactor_pcurlia_alt</t>
  </si>
  <si>
    <t>Current liabilities per share divided by closing price; reflects short-term obligations relative to market value</t>
  </si>
  <si>
    <t>mdl177_earningsqualityfactor_uar_alt</t>
  </si>
  <si>
    <t>Unexpected change in accounts receivable, difference from expected level scaled by total assets</t>
  </si>
  <si>
    <t>mdl177_liquidityriskfactor_ohlsonscore</t>
  </si>
  <si>
    <t>Ohlson Bankruptcy Score: It is a model assessing a company's probability of bankruptcy by considering firm size, capital structure, financial performance, and liquidity. It is derived from Ohlson (1980).</t>
  </si>
  <si>
    <t>mdl77_2earningsmomentummodel_fc_fcfroey1p</t>
  </si>
  <si>
    <t>Product of TTM FCF Yield and Forward ROE: It is defined as the trailing 12-month free cash flow per share multiplied by the next 4-quarter consensus earnings forecasts divided by the most recently reported book value per share scaled by its trading price.</t>
  </si>
  <si>
    <t>mdl177_fa_actrtn1m</t>
  </si>
  <si>
    <t>1-Month Active Return</t>
  </si>
  <si>
    <t>mdl177_2_deepvaluefactor_ttmepb</t>
  </si>
  <si>
    <t>Trailing 12-month earnings per share before non-recurring items divided by trading price</t>
  </si>
  <si>
    <t>mdl177_liquidityriskfactor_booklev_alt</t>
  </si>
  <si>
    <t>Book Leverage ratio: Total assets from most recent quarter divided by book equity, reflecting company capital structure</t>
  </si>
  <si>
    <t>mdl177_2_momemtumanalystmodel_qma_composite</t>
  </si>
  <si>
    <t>Rank representing composite momentum signal derived from analyst-related factors</t>
  </si>
  <si>
    <t>mdl177_fa_netcashp</t>
  </si>
  <si>
    <t>Net Cash to Equity: Recent cash and equivalents minus long-term and short-term debt, divided by market value</t>
  </si>
  <si>
    <t>mdl177_2_globaldevnorthamerica_v502_fc_curindfwdep_</t>
  </si>
  <si>
    <t>Industry Relative Leading 4-QTRS EPS to Price: Stock's next four quarters' consensus EPS-to-price ratio minus industry average and deflated by industry standard deviation</t>
  </si>
  <si>
    <t>mdl177_earningsmomentummodel_fc_y2repsg_alt</t>
  </si>
  <si>
    <t>Difference between FY2 consensus EPS forecast and last fiscal year's reported EPS, divided by month-end price (2-year ahead EPS growth scaled by price)</t>
  </si>
  <si>
    <t>mdl177_vra_qma_epsgrwth</t>
  </si>
  <si>
    <t>A rank measure of a stock's earnings growth relative to peers, indicating how strong its earnings growth is compared to others in the universe</t>
  </si>
  <si>
    <t>mdl177_earningmomentumfactor_numrevy1</t>
  </si>
  <si>
    <t>Net # of Revisions for Fiscal Year 1</t>
  </si>
  <si>
    <t>mdl177_2_valuemomentummodel_vm_compositesn</t>
  </si>
  <si>
    <t>mdl177_2_earningsqualityfactor_chgshare</t>
  </si>
  <si>
    <t>Percent change in number of outstanding shares compared to one year ago</t>
  </si>
  <si>
    <t>mdl177_2_momemtumanalystmodel_qma_epsgrwth</t>
  </si>
  <si>
    <t>Rank representing change in trailing twelve month EPS growth, scaled by recent stock price (earnings yield based)</t>
  </si>
  <si>
    <t>mdl177_2_garpanalystmodel_qgp_composite</t>
  </si>
  <si>
    <t>GPM Composite Model</t>
  </si>
  <si>
    <t>mdl177_2_deepvaluefactor_ebop</t>
  </si>
  <si>
    <t>Edwards-Bell-Ohlson value-to-price ratio</t>
  </si>
  <si>
    <t>mdl177_2_deepvaluefactor_ttmepa</t>
  </si>
  <si>
    <t>Trailing 12-month earnings per share after special items divided by trading price</t>
  </si>
  <si>
    <t>mdl177_earningmomentumfactor_y2repsg_alt</t>
  </si>
  <si>
    <t>Forecasted 2-year ahead EPS growth</t>
  </si>
  <si>
    <t>mdl177_2_managementqualityfactor_fwdroe</t>
  </si>
  <si>
    <t>Forward (projected) return on equity</t>
  </si>
  <si>
    <t>mdl177_v1_400_reinrate</t>
  </si>
  <si>
    <t>Reinvestment rate: trailing 12-month earnings per share before extra items, less trailing 12-month dividends per share by ex-date, divided by average book equity per share in the same period</t>
  </si>
  <si>
    <t>mdl177_fa_astto</t>
  </si>
  <si>
    <t>Assets turnover ratio: trailing twelve month sales divided by average assets</t>
  </si>
  <si>
    <t>mdl177_2_vma2_vma2_ma_em</t>
  </si>
  <si>
    <t>Reported Earnings Momentum subscore within the Momentum Analyst II component, tracking momentum in realized earnings results and surprises</t>
  </si>
  <si>
    <t>mdl177_valueanalystmodel_qva_epmodule</t>
  </si>
  <si>
    <t>Rank of earnings cyclicality measures for the stock</t>
  </si>
  <si>
    <t>mdl177_earningmomentumfactor_salesurp_alt</t>
  </si>
  <si>
    <t>Magnitude of actual sales exceeding or missing consensus forecast</t>
  </si>
  <si>
    <t>mdl177_2_managementqualityfactor_capacq</t>
  </si>
  <si>
    <t>Capital acquisition ratio, a measure relevant to sector or industry valuation and financial health</t>
  </si>
  <si>
    <t>mdl177_2_managementqualityfactor_chgreccast</t>
  </si>
  <si>
    <t>Year-over-year change in accounts receivable to current assets</t>
  </si>
  <si>
    <t>mdl77_2mqf_chgreccast</t>
  </si>
  <si>
    <t>YOY Chg in Acct Receivable to Current Assets: It is defined as the percent change in the most recent quarterly reported accounts receivable to current assets ratio from the ratio for the same quarter...</t>
  </si>
  <si>
    <t>mdl177_2_growthanalystmodel_qga_niroe</t>
  </si>
  <si>
    <t>Return on equity computed using net income (Net Income / Shareholders' Equity)</t>
  </si>
  <si>
    <t>mdl177_earningsqualityfactor_chgshare</t>
  </si>
  <si>
    <t>Percent change in company's number of shares outstanding over one year</t>
  </si>
  <si>
    <t>mdl177_2_deepvaluefactor_coreepsp</t>
  </si>
  <si>
    <t>Trailing 12-month core earnings per share from operations (excludes special items) divided by trading price</t>
  </si>
  <si>
    <t>mdl177_2_deepvaluefactor_cashsev</t>
  </si>
  <si>
    <t>Cash and equivalents divided by enterprise value</t>
  </si>
  <si>
    <t>mdl177_2_liquidityriskfactor_volto</t>
  </si>
  <si>
    <t>Trading turnover ratio; monthly total trading volume divided by current outstanding shares</t>
  </si>
  <si>
    <t>mdl177_industryrelativevaluefactor_curindocfp_alt</t>
  </si>
  <si>
    <t>A stock's trailing 12-month operating cash flow-to-price ratio minus the industry average, adjusted by dividing with the industry standard deviation (industry-relative TTM operating cash flow-to-price ratio standardized by industry)</t>
  </si>
  <si>
    <t>mdl77_oindustryrelativevaluefactor_curindocfp_</t>
  </si>
  <si>
    <t>Industry Relative TTM Oper Cash Flow-to-Price: It is defined as a stock's trailing 12-month operating cash flow-to-price ratio (OCFP) less the average of the OCFPs of all stocks in the same industry, deflated by the standard deviation of the OCFPs of all stocks in the same relative...</t>
  </si>
  <si>
    <t>mdl77_earningsqualityfactor_chgshare</t>
  </si>
  <si>
    <t>Percent Change in Shares Outstanding: It is defined as the percent change in a company's current number of outstanding shares as compared to the number of shares outstanding 1 year ago.</t>
  </si>
  <si>
    <t>mdl177_2_sensitivityfactor400_crp</t>
  </si>
  <si>
    <t>Credit Risk Premium Sensitivity</t>
  </si>
  <si>
    <t>mdl177_2_momemtumanalystmodel_qma_eplinkage</t>
  </si>
  <si>
    <t>Rank indicating the strength of linkage between earnings-related changes and stock price movement, considering factors like free cash flow and market reaction</t>
  </si>
  <si>
    <t>mdl177_fa_chgocfp</t>
  </si>
  <si>
    <t>One-year change in price-adjusted trailing twelve month operating cash flow per share</t>
  </si>
  <si>
    <t>mdl177_2_historicalgrowthfactor_pctchg3ycf</t>
  </si>
  <si>
    <t>Percent change in trailing twelve-month cash flow per share over a 3-year period</t>
  </si>
  <si>
    <t>mdl177_2_historicalgrowthfactor_chgcf</t>
  </si>
  <si>
    <t>Change in trailing twelve-month cash flow over the past year (four quarters), scaled by average total assets</t>
  </si>
  <si>
    <t>mdl77_pfcoghc</t>
  </si>
  <si>
    <t>The difference between the most recently reported trailing 12-month operating cash flow per share and that of 4 quarters ago for a stock divided by its trading price.</t>
  </si>
  <si>
    <t>mdl77_2historicalgrowthfactor_pctchg3ycf</t>
  </si>
  <si>
    <t>The percent change in a stock's most recent trailing 12-month cash flow per share as compared to itself 12 quarters ago.</t>
  </si>
  <si>
    <t>mdl177_2_vma2_vma2_ma_pm</t>
  </si>
  <si>
    <t>Price Momentum; measures price trend or momentum for the stock over a selected period</t>
  </si>
  <si>
    <t>mdl177_earningmomentumfactor_surp_alt</t>
  </si>
  <si>
    <t>Difference between actual EPS and consensus forecast, scaled by quarter-end price</t>
  </si>
  <si>
    <t>mdl177_2_pricemomentummodel2_indrelrtn5d_</t>
  </si>
  <si>
    <t>5-day industry-relative return: the stock's 5-day return minus its industry average, standardized by the industry's return standard deviation; captures recent momentum relative to peers</t>
  </si>
  <si>
    <t>mdl177_2_managementqualityfactor_revper</t>
  </si>
  <si>
    <t>Total sales for the trailing 12 months divided by number of employees at last fiscal year end</t>
  </si>
  <si>
    <t>mdl177_v1_400_fc_proformaep</t>
  </si>
  <si>
    <t>Trailing 12-month pro forma earnings divided by trading price; earnings-to-price ratio using pro forma (adjusted) earnings</t>
  </si>
  <si>
    <t>mdl177_garpanalystmodel_qgp_alert</t>
  </si>
  <si>
    <t>Alert Rank</t>
  </si>
  <si>
    <t>mdl177_vra_qva_valuation</t>
  </si>
  <si>
    <t>A rank summarizing valuation metrics (e.g., price/book, price/earnings) to indicate how attractive a stock's valuation is compared to peers</t>
  </si>
  <si>
    <t>mdl77_earningsmomentummodel_fc_fcfroey1p</t>
  </si>
  <si>
    <t>mdl177_pricemomentummodel_voldiff_pc</t>
  </si>
  <si>
    <t>Difference between at-the-money (ATM) Put option volatility and ATM Call option volatility for the stock, indicating liquidity risk or sentiment skew</t>
  </si>
  <si>
    <t>mdl177_historicalgrowthfactor_pctchgeps</t>
  </si>
  <si>
    <t>Percent change in trailing 12-month earnings per share before extra items compared to 4 quarters ago (1-year growth)</t>
  </si>
  <si>
    <t>mdl177_2deepvaluefactor_cashsev</t>
  </si>
  <si>
    <t>Cash to Enterprise Value: It is defined as the total cash &amp; equivalents divided by the sum of the market value of common equity and book value of long-term debt.</t>
  </si>
  <si>
    <t>mdl177_2_5yearrelativevaluefactor_rel5ysp</t>
  </si>
  <si>
    <t>5-year Relative Trailing 12-Month Sales-to-Price: current TTM sales-to-price minus the 60-month average, scaled by standard deviation</t>
  </si>
  <si>
    <t>mdl177_2_garpanalystmodel_qgp_alert</t>
  </si>
  <si>
    <t>Ranking indicator highlighting stocks that trigger specific GARP alert signals, possibly for rapid reassessment or attention</t>
  </si>
  <si>
    <t>mdl177_earningsqualityfactor_uinv_alt</t>
  </si>
  <si>
    <t>Unexpected change in inventory level</t>
  </si>
  <si>
    <t>mdl77_2momemtumanalystmodel_htwrgspe_amq</t>
  </si>
  <si>
    <t>Earnings Growth Rank: It is defined as the one-quarter change in a stock's trailing twelve-month earnings per share, scaled by its recent closing stock price (E/P).</t>
  </si>
  <si>
    <t>mdl177_put_put_valmod</t>
  </si>
  <si>
    <t>Composite valuation module, an aggregated signal or score representing several valuation metrics for the stock</t>
  </si>
  <si>
    <t>mdl177_historicalgrowthfactor_chgcfp</t>
  </si>
  <si>
    <t>Difference between trailing 12-month cash flow per share and that 4 quarters ago, divided by trading price</t>
  </si>
  <si>
    <t>mdl177_v1_400_indrelrtn5d_</t>
  </si>
  <si>
    <t>5-day industry relative return: stock's return in last 5 days minus industry average, deflated by industry standard deviation of these returns</t>
  </si>
  <si>
    <t>mdl177_historicalgrowthfactor_pctchgcf_alt</t>
  </si>
  <si>
    <t>Percent change in trailing 12-month cash flow per share now compared to 4 quarters ago</t>
  </si>
  <si>
    <t>mdl177_fa_nlvolcap</t>
  </si>
  <si>
    <t>Average Monthly Trading Volume-to-Market Cap: Log of trailing 12-month average monthly volume divided by trailing 12-month average market cap</t>
  </si>
  <si>
    <t>mdl177_2_historicalgrowthfactor_chg3yepsp</t>
  </si>
  <si>
    <t>mdl177_2_liquidityriskfactor_numest_alt</t>
  </si>
  <si>
    <t>mdl177_2_garpanalystmodel_qgp_vfpriceratio_alt</t>
  </si>
  <si>
    <t>Value to Price Rank</t>
  </si>
  <si>
    <t>mdl177_historicalgrowthfactor_pctchg3ycf</t>
  </si>
  <si>
    <t>Percent change in trailing 12-month cash flow per share compared to 12 quarters ago</t>
  </si>
  <si>
    <t>mdl177_v1_400_nlvolcap</t>
  </si>
  <si>
    <t>mdl177_2_managementqualityfactor_cllev</t>
  </si>
  <si>
    <t>Current liability leverage: current liabilities divided by total assets</t>
  </si>
  <si>
    <t>mdl177_2_deepvaluefactor_ttmgfp</t>
  </si>
  <si>
    <t>Trailing 12-month growth flow-to-price (GAAP earnings plus R&amp;D) per share divided by trading price</t>
  </si>
  <si>
    <t>mdl177_2_liquidityriskfactor_bidask20d</t>
  </si>
  <si>
    <t>20-day average of bid-ask spread divided by price; liquidity metric</t>
  </si>
  <si>
    <t>mdl177_2_historicalgrowthfactor_chg3ycfp</t>
  </si>
  <si>
    <t>Difference between trailing 12-month cash flow per share now and 12 quarters ago, divided by month-end trading price</t>
  </si>
  <si>
    <t>mdl177_historicalgrowthfactor_chgepsp</t>
  </si>
  <si>
    <t>mdl177_momemtumanalystmodel_qma_epsgrwth</t>
  </si>
  <si>
    <t>Rank of earnings growth, measuring changes in trailing twelve month earnings per share scaled by the recent closing stock price</t>
  </si>
  <si>
    <t>mdl177_2_sensitivityfactor400_oilprice</t>
  </si>
  <si>
    <t>Oil Prices Sensitivity</t>
  </si>
  <si>
    <t>mdl177_historicalgrowthfactor_chgeps_alt</t>
  </si>
  <si>
    <t>1-year change in assets-adjusted trailing twelve-month earnings per share before extra items</t>
  </si>
  <si>
    <t>mdl177_v1_400_cfroi</t>
  </si>
  <si>
    <t>Cash flow return on invested capital: trailing 12-month cash flow divided by average invested capital</t>
  </si>
  <si>
    <t>mdl177_2_deepvaluefactor_ebitdap</t>
  </si>
  <si>
    <t>Trailing 12-month EBITDA per share divided by month-end trading price</t>
  </si>
  <si>
    <t>mdl177_historicalgrowthfactor_chg3yeps_alt</t>
  </si>
  <si>
    <t>Difference between trailing 12-month earnings per share now and 12 quarters ago</t>
  </si>
  <si>
    <t>mdl177_fa_fcfroey1p</t>
  </si>
  <si>
    <t>Product of trailing twelve-month free cash flow yield and forward return on equity</t>
  </si>
  <si>
    <t>mdl177_2_deepvaluefactor_curep_alt</t>
  </si>
  <si>
    <t>mdl177_2_5yearrelativevaluefactor_rel5yep</t>
  </si>
  <si>
    <t>5-year Relative Trailing 12-Month Earnings-to-Price: current TTM EPS before extra items-to-price minus the 60-month average, scaled by standard deviation</t>
  </si>
  <si>
    <t>mdl177_2_earningsqualityfactor_ttmaccu</t>
  </si>
  <si>
    <t>mdl177_2_valanalystmodel_qva_epmodule</t>
  </si>
  <si>
    <t>mdl177_deepvaluefactor_bp</t>
  </si>
  <si>
    <t>Book value per share divided by month-end trading price (book-to-market ratio)</t>
  </si>
  <si>
    <t>mdl177_2_managementqualityfactor_niroe</t>
  </si>
  <si>
    <t>mdl177_2_earningsqualityfactor_uap_alt</t>
  </si>
  <si>
    <t>Unexpected change in accounts payable, difference between current and expected levels</t>
  </si>
  <si>
    <t>mdl177_2_earningmomentumfactor400_cvy2eps</t>
  </si>
  <si>
    <t>Dispersion of fiscal year 2 EPS analyst forecasts, measured as the standard deviation divided by the mean</t>
  </si>
  <si>
    <t>mdl177_2_surpriseanalystmodel_qsa_surpsn_alt</t>
  </si>
  <si>
    <t>Rank of a company's earnings or revenue surprise, normalized relative to its sector</t>
  </si>
  <si>
    <t>mdl177_historicalgrowthfactor_chgcf_alt</t>
  </si>
  <si>
    <t>Change in trailing twelve-month cash flow over the past year</t>
  </si>
  <si>
    <t>mdl177_historicalgrowthfactor_chgopm</t>
  </si>
  <si>
    <t>mdl177_2_managementqualityfactor_investto</t>
  </si>
  <si>
    <t>Investment Turnover: trailing 12-month sales divided by average total assets</t>
  </si>
  <si>
    <t>mdl177_deepvaluefactor_ebitdaev</t>
  </si>
  <si>
    <t>mdl177_2_historicalgrowthfactor_pctchg3yeps</t>
  </si>
  <si>
    <t>mdl177_2_deepvaluefactor_indidivy</t>
  </si>
  <si>
    <t>mdl177_2_managementqualityfactor_ollev_alt</t>
  </si>
  <si>
    <t>Operating liability leverage</t>
  </si>
  <si>
    <t>mdl177_2_valanalystmodel_qva_composite</t>
  </si>
  <si>
    <t>Composite rank combining multiple value analyst measures</t>
  </si>
  <si>
    <t>mdl177_2_managementqualityfactor_investto_alt</t>
  </si>
  <si>
    <t>Investment Turnover ratio</t>
  </si>
  <si>
    <t>mdl177_2_historicalgrowthfactor_chgnpm_alt</t>
  </si>
  <si>
    <t>Net profit margin change over 4 quarters</t>
  </si>
  <si>
    <t>mdl177_multi_factor_static_score_derivative</t>
  </si>
  <si>
    <t>Change in static multi-factor score compared to previous period</t>
  </si>
  <si>
    <t>mdl177_2_deepvaluefactor_ttmfcfp</t>
  </si>
  <si>
    <t>Trailing 12-month free cash flow per share divided by trading price</t>
  </si>
  <si>
    <t>mdl177_2_sensitivityfactor400_dm_alt</t>
  </si>
  <si>
    <t>Financial distress risk score</t>
  </si>
  <si>
    <t>mdl177_historicalgrowthfactor_pctchgcf</t>
  </si>
  <si>
    <t>Percent change in trailing 12-month cash flow per share</t>
  </si>
  <si>
    <t>mdl177_2_garpanalystmodel_qgp_relgrowth_alt</t>
  </si>
  <si>
    <t>Relative growth rank against industry peers</t>
  </si>
  <si>
    <t>mdl177_2_historicalgrowthfactor_salesaccel4q_alt</t>
  </si>
  <si>
    <t>Acceleration of sales growth over last 4 quarters</t>
  </si>
  <si>
    <t>mdl177_historicalgrowthfactor_chg3ycfp_alt</t>
  </si>
  <si>
    <t>3-year change in cash flow to price</t>
  </si>
  <si>
    <t>mdl177_2_earningmomentumfactor400_fcfroey1p</t>
  </si>
  <si>
    <t>Product of free cash flow yield and forward ROE</t>
  </si>
  <si>
    <t>mdl177_2_managementqualityfactor_nopatmargin_alt</t>
  </si>
  <si>
    <t>NOPAT margin for trailing 12 months</t>
  </si>
  <si>
    <t>mdl177_2_surpriseanalystmodel_qsa_efficiency_alt</t>
  </si>
  <si>
    <t>Quantitative ranking of stock's fundamental efficiency</t>
  </si>
  <si>
    <t>mdl177_2_managementqualityfactor_cfroi_alt</t>
  </si>
  <si>
    <t>Cash flow return on invested capital</t>
  </si>
  <si>
    <t>mdl177_2_earningmomentumfactor400_dypeg</t>
  </si>
  <si>
    <t>Reciprocal of the dividend yield-adjusted PEG ratio</t>
  </si>
  <si>
    <t>mdl177_2_valanalystmodel_qva_incstmt_alt</t>
  </si>
  <si>
    <t>Rank of operating income in relation to enterprise value</t>
  </si>
  <si>
    <t>mdl177_2_historicalgrowthfactor_chg3yepsp_alt</t>
  </si>
  <si>
    <t>3-year change in earnings per share to price</t>
  </si>
  <si>
    <t>mdl177_fa_nnastp</t>
  </si>
  <si>
    <t>Ratio of net current assets per share (current assets minus total liabilities) to stock price</t>
  </si>
  <si>
    <t>mdl177_earningmomentumfactor_y2repsg</t>
  </si>
  <si>
    <t>2-year projected EPS growth; forecasted earnings per share growth over 2 years, likely scaled by price</t>
  </si>
  <si>
    <t>mdl177_2_historicalgrowthfactor_chgis</t>
  </si>
  <si>
    <t>Change in the ratio of inventory to sales over the past year (quarterly)</t>
  </si>
  <si>
    <t>mdl177_2_earningmomentumfactor400_stockrating</t>
  </si>
  <si>
    <t>Consensus analyst recommendation for the company</t>
  </si>
  <si>
    <t>mdl177_2_managementqualityfactor_adverint</t>
  </si>
  <si>
    <t>Advertising Intensity</t>
  </si>
  <si>
    <t>mdl177_historicalgrowthfactor_susgrowth</t>
  </si>
  <si>
    <t>Maximum growth rate a firm can sustain without increasing financial leverage</t>
  </si>
  <si>
    <t>mdl77_2adverint</t>
  </si>
  <si>
    <t>Advertising Intensity: It is defined as a stock's advertising expense in the last fiscal year divided by last fiscal year's sales.</t>
  </si>
  <si>
    <t>mdl177_fangma_emf_usa_fangma_emf28</t>
  </si>
  <si>
    <t>Earnings momentum factors 28 for FANGMA (Facebook, Apple, Netflix, Google, Microsoft, Amazon)</t>
  </si>
  <si>
    <t>mdl177_2_industryrelativevaluefactor_curindocta_</t>
  </si>
  <si>
    <t>Industry Relative TTM Operating Cash Flow-to-Total Assets: Stock's trailing 12-month operating cash flow-to-total assets ratio minus industry average, scaled by industry standard deviation</t>
  </si>
  <si>
    <t>mdl177_2_earningmomentumfactor400_y2aepsg</t>
  </si>
  <si>
    <t>EPS growth estimate for two years ahead</t>
  </si>
  <si>
    <t>mdl177_5shortsentimentfactor_sht_int</t>
  </si>
  <si>
    <t>Short Interest: the total number of shares currently sold short (but not yet covered), a key indicator of bearish sentiment in a stock</t>
  </si>
  <si>
    <t>mdl177_historicalgrowthfactor_chgars_alt</t>
  </si>
  <si>
    <t>Change in accounts receivable as a percentage of trailing 12-month sales compared to 4 quarters ago</t>
  </si>
  <si>
    <t>mdl177_historicalgrowthfactor_chgocf_alt</t>
  </si>
  <si>
    <t>Change in trailing 12-month operating cash flow over last year, divided by average total assets</t>
  </si>
  <si>
    <t>mdl177_historicalgrowthfactor_pctchg3ycf_alt</t>
  </si>
  <si>
    <t>Percent change in trailing 12-month cash flow per share now compared to 12 quarters ago</t>
  </si>
  <si>
    <t>mdl177_pricemomentummodel_indrelrtn5d_</t>
  </si>
  <si>
    <t>Stock's 5-day return minus the average 5-day return of all stocks in the same industry, normalized by the industry return standard deviation</t>
  </si>
  <si>
    <t>mdl177_2_liquidityriskfactor_altmanz</t>
  </si>
  <si>
    <t>Altman Z score; linear combination of five financial ratios to evaluate bankruptcy risk</t>
  </si>
  <si>
    <t>mdl177_deepvaluefactor_ttmepb_alt</t>
  </si>
  <si>
    <t>The company's performance in trailing 1-year before taking into account of non-recurring gain or loss.stock divided by its month-end trading price.</t>
  </si>
  <si>
    <t>mdl177_deepvaluefactor_cashsev_alt</t>
  </si>
  <si>
    <t>Cash-to-Enterprise Value: total cash and equivalents divided by enterprise value</t>
  </si>
  <si>
    <t>mdl177_2_liquidityriskfactor_intcov_alt</t>
  </si>
  <si>
    <t>Interest Coverage: Quarterly operating income before depreciation divided by quarterly long-term debt interest expenses; ability to meet interest payments</t>
  </si>
  <si>
    <t>mdl77_historicalgrowthfactor_cg3ysales</t>
  </si>
  <si>
    <t>The geometric growth rate of the trailing 12-month sales per share in the last 12 quarters.</t>
  </si>
  <si>
    <t>mdl177_2_managementqualityfactor_yoychggpm</t>
  </si>
  <si>
    <t>Yearly Change In Gross Profit Margin: most recent quarterly gross profit margin minus margin for same quarter one year ago</t>
  </si>
  <si>
    <t>mdl77_ohistoricalgrowthfactor_pctchg3ycf</t>
  </si>
  <si>
    <t>mdl177_liquidityriskfactor_si_ratio</t>
  </si>
  <si>
    <t>Short Interest Ratio: It is defined as the number of shares sold short divided by the average daily trading volume of the stock over the last 30 trading days.</t>
  </si>
  <si>
    <t>mdl77_2earningmomentumfactor400_gspea2y</t>
  </si>
  <si>
    <t>2-Year Ahead EPS Growth: It is defined as the most recent consensus earnings forecast for fiscal year 2 minus the consensus earnings forecast for fiscal year 1, divided by trading price.</t>
  </si>
  <si>
    <t>mdl177_2_earningmomentumfactor400_fqsurs_std</t>
  </si>
  <si>
    <t>Most recent standardized earnings surprise</t>
  </si>
  <si>
    <t>mdl177_2_managementqualityfactor_opmb</t>
  </si>
  <si>
    <t>Operating Profit Margin: quarterly operating income divided by quarterly sales</t>
  </si>
  <si>
    <t>mdl77_2mqf_yoychggpm</t>
  </si>
  <si>
    <t>Yearly Change In Gross Profit Margin: It is defined as the most recent quarterly reported gross profit margin minus the margin for the same quarter 1 year ago. Gross profit margin equals the difference between sales and cost of goods sold then scaled by the sales.</t>
  </si>
  <si>
    <t>mdl177_2_sensitivityfactor400_nasales</t>
  </si>
  <si>
    <t>Company's sales revenue exposure to North America, expressed as a proportion of total sales</t>
  </si>
  <si>
    <t>mdl177_earningsqualityfactor_uar</t>
  </si>
  <si>
    <t>Unexpected change in accounts receivable, the difference between current and expected accounts receivable scaled by total assets</t>
  </si>
  <si>
    <t>mdl177_2_put_put_qualmod</t>
  </si>
  <si>
    <t>Quality Module</t>
  </si>
  <si>
    <t>mdl177_historicalgrowthfactor_chgars</t>
  </si>
  <si>
    <t>Change in accounts receivable to sales ratio over 1 year (latest vs. 4 quarters ago)</t>
  </si>
  <si>
    <t>mdl77_liquidityriskfactor_voctni</t>
  </si>
  <si>
    <t>Interest Coverage: It is defined as the most recently reported quarterly operating income before depreciation divided by the quarterly long-term debt interest expenses.</t>
  </si>
  <si>
    <t>mdl177_historicalgrowthfactor_chgis_alt</t>
  </si>
  <si>
    <t>Change in inventory as a percentage of trailing 12-month sales compared to 4 quarters ago</t>
  </si>
  <si>
    <t>mdl177_2_deepvaluefactor_ttmcfp</t>
  </si>
  <si>
    <t>Trailing 12-month cash flow (net income plus depreciation) per share divided by trading price</t>
  </si>
  <si>
    <t>mdl177_valanalystmodel_qva_pegy</t>
  </si>
  <si>
    <t>Rank based on PEGY metric (Price/Earnings/Growth/Yield)</t>
  </si>
  <si>
    <t>mdl177_2_managementqualityfactor_wcinv</t>
  </si>
  <si>
    <t>Working Capital to Inventory: most recent quarterly working capital divided by inventory</t>
  </si>
  <si>
    <t>mdl177_v1_400_cashburnrate</t>
  </si>
  <si>
    <t>Cash burn rate: negative of (cash from operations plus cash from investments) divided by (cash plus short-term investments); indicates rate at which company uses its liquidity</t>
  </si>
  <si>
    <t>mdl177_liquidityriskfactor_netcashp_alt</t>
  </si>
  <si>
    <t>Net cash to equity: (Quarterly cash and equivalents minus long-term and current debt) divided by current market value; shows net liquidity strength</t>
  </si>
  <si>
    <t>mdl177_2_earningsqualityfactor_yoychgaa</t>
  </si>
  <si>
    <t>Trailing 12-month income before extra items less trailing 12-month operating cash flow, scaled by average total assets, minus same metric one year ago</t>
  </si>
  <si>
    <t>mdl177_2_garpanalystmodel_qgp_relpegy</t>
  </si>
  <si>
    <t>A rolling ranking of stocks combining their PEGY (Price/Earnings-to-Growth-and-Yield) ratio over a set period, representing value adjusted for growth and yield relative to peers</t>
  </si>
  <si>
    <t>mdl77_fa_ppa</t>
  </si>
  <si>
    <t>Average Payable Period: It is defined as the average of the trailing 12-month accounts payable times 365 divided by the trailing 12-month cost of goods sold.</t>
  </si>
  <si>
    <t>mdl77_2sensitivityfactor400_nasales</t>
  </si>
  <si>
    <t>North America Sales Exposure: It is defined as the annual aggregate sales for North America as reported by the company divided by total annual sales</t>
  </si>
  <si>
    <t>mdl177_fa_capacq</t>
  </si>
  <si>
    <t>Capital Acquisition Ratio: Trailing 12-month operating cash flow minus trailing 12-month cash dividends, divided by total expenditures in the same period; measures ability to finance capital outlays</t>
  </si>
  <si>
    <t>mdl177_earningmomentumfactor_fcfroey1p</t>
  </si>
  <si>
    <t>Product of trailing 12-month free cash flow yield and forward return on equity; combines FCF per share and next 4-quarter earnings forecast over book value, scaled by trading price</t>
  </si>
  <si>
    <t>mdl177_earningsqualityfactor_salegpm</t>
  </si>
  <si>
    <t>Difference between yearly change in quarterly sales and yearly change in gross profit margin</t>
  </si>
  <si>
    <t>mdl177_2_liquidityriskfactor_cashratio</t>
  </si>
  <si>
    <t>Most recent quarter's cash and equivalents divided by current liabilities, indicating liquidity position</t>
  </si>
  <si>
    <t>mdl177_garpanalystmodel_qgp_growthval</t>
  </si>
  <si>
    <t>Valuation adjusted for growth metrics, assessing valuation in the context of company growth prospects</t>
  </si>
  <si>
    <t>mdl177_liquidityriskfactor_aqi_alt</t>
  </si>
  <si>
    <t>Asset Quality Index : It is defined as the year-over-year change of 1 minus the ratio of current assets plus PP&amp;E divided by total assets</t>
  </si>
  <si>
    <t>mdl77_2deepvaluefactor_pfcmtt</t>
  </si>
  <si>
    <t>TTM Cash Flow-to-Price: It is defined as the trailing 12-month cash flows per share for a stock scaled by its trading price. Cash flow is defined as the reported net income plus depreciation.</t>
  </si>
  <si>
    <t>mdl177_fa_fcfroi</t>
  </si>
  <si>
    <t>Free Cash Flow Return on Invested Capital: Trailing 12-month free cash flow divided by average invested capital over the same period (where invested capital includes equity, debt, minority interest, preferred stock)</t>
  </si>
  <si>
    <t>mdl177_fa_monchsip</t>
  </si>
  <si>
    <t>Monthly change in the ratio of shares sold short over shares outstanding</t>
  </si>
  <si>
    <t>mdl177_2_deepvaluefactor_divyield</t>
  </si>
  <si>
    <t>Trailing 12-month dividends per share divided by month-end trading price (dividend yield)</t>
  </si>
  <si>
    <t>mdl177_2_globaldevnorthamerica_v502_tw_ep</t>
  </si>
  <si>
    <t>Twelve-month forward earnings yield using time-weighted combination of FY1 and FY2 earnings estimates</t>
  </si>
  <si>
    <t>mdl177_valueanalystmodel_qva_pegy</t>
  </si>
  <si>
    <t>Rank based on PEGY (Price/Earnings to Growth &amp; Yield), a valuation metric</t>
  </si>
  <si>
    <t>mdl177_2_liquidityriskfactor_curratio</t>
  </si>
  <si>
    <t>Current ratio; most recent quarter's current assets divided by current liabilities</t>
  </si>
  <si>
    <t>mdl177_earningsqualityfactor_rau</t>
  </si>
  <si>
    <t>Unexpected Change in Accounts Receivable: It is defined as the difference between current accounts receivable and the expected level of accounts receivable (multiplying the prior year's closing account balance by the growth in sales in the trailing 12 months) scaled by the...</t>
  </si>
  <si>
    <t>mdl77_2earningsmomentummodel_emm_composite</t>
  </si>
  <si>
    <t>Model composition based on earnings momentum</t>
  </si>
  <si>
    <t>mdl77_2liquidityriskfactor_curratio</t>
  </si>
  <si>
    <t>Current Ratio: It is defined as the reported current assets from the most recent quarter divided by the current liabilities from the most recent quarter.</t>
  </si>
  <si>
    <t>mdl77_valueanalystmodelqva_pegy</t>
  </si>
  <si>
    <t>PEGY Rank: It is defined as the aggregated ranking of a company's price, earnings, estimated long-term growth, and dividend yield rankings.</t>
  </si>
  <si>
    <t>mdl177_fangma_emf_usa_fangma_emf4</t>
  </si>
  <si>
    <t>Earnings momentum factors 4 for FANGMA (Facebook, Apple, Netflix, Google, Microsoft, Amazon)</t>
  </si>
  <si>
    <t>mdl177_2_growthanalystmodel_qga_composite</t>
  </si>
  <si>
    <t>Composite score combining multiple Growth Analyst signals into a single metric</t>
  </si>
  <si>
    <t>mdl177_2_industryrelativevaluefactor_curindfcfp_</t>
  </si>
  <si>
    <t>Industry Relative TTM Free Cash Flow-to-Price: Stock's trailing 12-month free cash flow-to-price ratio minus industry average, scaled by industry standard deviation</t>
  </si>
  <si>
    <t>mdl177_2_earningmomentumfactor400_epsrm</t>
  </si>
  <si>
    <t>Magnitude of the 3-month change in median FY1 consensus EPS estimate, scaled</t>
  </si>
  <si>
    <t>mdl177_2_managementqualityfactor_min1ygrossmargin</t>
  </si>
  <si>
    <t>Lowest gross margin over the last 1 year</t>
  </si>
  <si>
    <t>mdl177_liquidityriskfactor_bdi_alt</t>
  </si>
  <si>
    <t>Basic Defensive Interval: number of days a company's cash and receivables can cover daily operating expenses (COGS + SG&amp;A)</t>
  </si>
  <si>
    <t>mdl177_fangma_gpam11</t>
  </si>
  <si>
    <t>to_fill</t>
  </si>
  <si>
    <t>mdl77_valueanalystmodel_qva_pegy</t>
  </si>
  <si>
    <t>PEGY Rank: It is defined as the aggregated ranking of a company's price, earnings, estimated long-term growth, and dividend yield rankings</t>
  </si>
  <si>
    <t>mdl77_2industryrelativevaluefactor_curindfcfp_</t>
  </si>
  <si>
    <t>Industry Relative TTM Free Cash Flow-to-Price: It is defined as a stock's trailing 12-month free cash flow-to-price ratio (FCFP) less the average of the FCFPs of all stocks in the same industry deflated by the standard deviation of the FCFPs of all stocks in the same relative universe.</t>
  </si>
  <si>
    <t>mdl77_2liquidityriskfactor_altmanz</t>
  </si>
  <si>
    <t>Altman Z Score: Altman Z = 1.2* (Current Assets - Current Liabilities)/TA + 1.4*Retained Earnings/TA + 3.3*Earnings before Interest and Taxes/TA + 0.6*Market Value of Preferred and Common Equity/Book Value of Total Liabilities + 1.0*Sales/TA where TA denotes total assets.</t>
  </si>
  <si>
    <t>mdl77_2min1ygrossmargin</t>
  </si>
  <si>
    <t>1-Year Trough Gross Margin: It is defined as the 1-year minimum value of a stock's quarterly gross profit margin.</t>
  </si>
  <si>
    <t>mdl77_2mqf_noato</t>
  </si>
  <si>
    <t>Net Operating Asset Turnover: It is defined as trailing 12-month sales divided by the last 4-quarters average net operating assets, which equals short-term debt + long-term debt + preferred equity + common equity - cash.</t>
  </si>
  <si>
    <t>mdl177_putput_siratio_alt</t>
  </si>
  <si>
    <t>Short Interest Ratio, typically the proportion of shares sold short compared to shares outstanding or trading volume, used as a crowding and sentiment gauge</t>
  </si>
  <si>
    <t>mdl177_2_earningmomentumfactor400_y2repsg</t>
  </si>
  <si>
    <t>Projected EPS growth over two years</t>
  </si>
  <si>
    <t>mdl177_2_liquidityriskfactor_ohlsonscore</t>
  </si>
  <si>
    <t>Ohlson bankruptcy score; statistical model assessing bankruptcy probability based on size, leverage, performance, liquidity</t>
  </si>
  <si>
    <t>mdl177_deepvaluefactor_navp_alt</t>
  </si>
  <si>
    <t>Ratio of a company's net asset value per share (tangible book value) to its current share price, indicating how much balance-sheet net worth backs each share relative to market value</t>
  </si>
  <si>
    <t>mdl177_liquidityriskfactor_growdura_alt</t>
  </si>
  <si>
    <t>Growth Duration</t>
  </si>
  <si>
    <t>mdl177_liquidityriskfactor_growdura</t>
  </si>
  <si>
    <t>Growth Duration: It is defined as the natural log of the ratio of a stock's leading 12-month PE to the leading 12-month PE of the market divided by the natural log of the ratio of 1 plus the stock's total growth rate, defined as the long-term growth rate plus indicated annual dividend...</t>
  </si>
  <si>
    <t>mdl77_2earningsmomentummodel_fc_fqsurstd</t>
  </si>
  <si>
    <t>Most Recent Quarterly Earnings Surprise: It is defined as a stock's most recent quarterly earnings surprise (actual fiscal quarter EPS less the consensus earnings estimate) adjusted by the standard deviation of its analysts' individual earnings forecasts.</t>
  </si>
  <si>
    <t>mdl177_2_growthanalystmodel2_qga_ltepssurprise</t>
  </si>
  <si>
    <t>Long Term EPS Surprise</t>
  </si>
  <si>
    <t>mdl177_momemtumanalystmodel_qma_ttmfcfchg_alt</t>
  </si>
  <si>
    <t>Rank representing the change in trailing twelve month free cash flow over two quarters, divided by the value from two quarters ago</t>
  </si>
  <si>
    <t>mdl177_2_deepvaluefactor_ttmcapexp</t>
  </si>
  <si>
    <t>Trailing 12-month capital expenditures per share divided by trading price</t>
  </si>
  <si>
    <t>mdl177_fangma_vmm_usa_fangma_vmm11</t>
  </si>
  <si>
    <t>Value momentum 11 for FANGMA (Facebook, Apple, Netflix, Google, Mircosoft, Amazon)</t>
  </si>
  <si>
    <t>Session 19: e7nobL6O (sharpe 1.68) and npnMdNNz (sharpe 1.65, score +396). Both submittable.</t>
  </si>
  <si>
    <t>mdl177_valueanalystmodel_qva_alertrank</t>
  </si>
  <si>
    <t>mdl177_pricemomentummodel_rationalalpha</t>
  </si>
  <si>
    <t>Rational Decay Alpha: Measures a stock's historical 12-month market-adjusted excess return using the intercept from an OLS regression and a proprietary decay function</t>
  </si>
  <si>
    <t>mdl177_2_managementqualityfactor_min1yopmargin</t>
  </si>
  <si>
    <t>Minimum (trough) operating margin in the last year</t>
  </si>
  <si>
    <t>mdl177_2_managementqualityfactor_capexsale</t>
  </si>
  <si>
    <t>Capital expenditures divided by sales over the trailing 12 months</t>
  </si>
  <si>
    <t>mdl177_liquidityriskfactor_altmanz_alt</t>
  </si>
  <si>
    <t>Altman Z-score: A composite measure predicting bankruptcy risk, calculated using a weighted sum of profitability, leverage, liquidity, solvency, and activity ratios</t>
  </si>
  <si>
    <t>mdl177_2_earningsqualityfactor_uinv</t>
  </si>
  <si>
    <t>Difference between current inventory level and expected inventory level, likely scaled by assets</t>
  </si>
  <si>
    <t>mdl177_valueanalystmodel_ccaghc_avq</t>
  </si>
  <si>
    <t>The 1-year change in a company's trailing 4Q net operating working capital, scaled by current total assets.</t>
  </si>
  <si>
    <t>mdl177_industryrelativevaluefactor_curindsp_</t>
  </si>
  <si>
    <t>A stock's trailing 12-month sales-to-price ratio minus the industry average, deflated by the industry's standard deviation of SPs</t>
  </si>
  <si>
    <t>mdl177_fangma_rvm_usa_fangma_rvm1</t>
  </si>
  <si>
    <t>Relative value model 1 for FANGMA (Facebook, Apple, Netflix, Google, Mircosoft, Amazon)</t>
  </si>
  <si>
    <t>mdl177_earningmomentumfactor_rev3y1</t>
  </si>
  <si>
    <t>3-month revision in FY1 EPS forecasts; change in current FY1 estimate minus 3 months ago, scaled</t>
  </si>
  <si>
    <t>mdl177_valueanalystmodel_qva_valuation_alt</t>
  </si>
  <si>
    <t>Rank based on valuation metrics, such as book ratios and cash flow multiples</t>
  </si>
  <si>
    <t>mdl177_2_globaldevnorthamerica_v502_fc_estep</t>
  </si>
  <si>
    <t>Leading 12-Month Median Earnings Yield: Next fiscal year's median consensus earnings estimate divided by current trading price</t>
  </si>
  <si>
    <t>mdl177_deepvaluefactor_nnastp_alt</t>
  </si>
  <si>
    <t>Net Current Assets-to-Price: current assets minus total liabilities per share divided by price</t>
  </si>
  <si>
    <t>mdl177_v1_400_ptchgqtrast</t>
  </si>
  <si>
    <t>Growth in total assets per share over the past year, comparing the latest reported quarterly total assets to those of four quarters ago</t>
  </si>
  <si>
    <t>mdl77_400_ptchgqtrast</t>
  </si>
  <si>
    <t>1-yr Change in Total Assets: It is defined as the growth in the most recent reported quarterly total assets per share as compared to that of 4 quarters ago.</t>
  </si>
  <si>
    <t>mdl177_pricemomentummodel_pmm_composite</t>
  </si>
  <si>
    <t>Composite price momentum signal combining several individual price momentum indicators for a more robust measure of momentum</t>
  </si>
  <si>
    <t>mdl177_earningmomentumfactor_cvfy2eps_alt</t>
  </si>
  <si>
    <t>Dispersion (coefficient of variation) of FY2 EPS forecasts among analysts</t>
  </si>
  <si>
    <t>mdl177_earningmomentumfactor_sue_alt</t>
  </si>
  <si>
    <t>Standardized measure of unexpected earnings, typically deviation from analyst expectations</t>
  </si>
  <si>
    <t>mdl177_2_liquidityriskfactor_dfl</t>
  </si>
  <si>
    <t>Degree of financial leverage; sum of TTM pretax income and TTM interest expense divided by TTM pretax income</t>
  </si>
  <si>
    <t>mdl177_v1_400_ttmsaleev</t>
  </si>
  <si>
    <t>TTM sales-to-enterprise value: trailing 12-month sales divided by most recent enterprise value (EV: market value of equity plus long-term/short-term debt, preferred stock, minority interest, minus cash &amp; equivalents)</t>
  </si>
  <si>
    <t>mdl177_2_valueanalystmodel_qva_pegy</t>
  </si>
  <si>
    <t>Rank based on PEGY ratio (Price/Earnings to Growth &amp; Yield), assessing valuation adjusted for earnings growth and dividend yield</t>
  </si>
  <si>
    <t>mdl77_ovalueanalystmodel_qva_valuation</t>
  </si>
  <si>
    <t>Valuation Rank: It is defined as the equal-weighted average of the Financial Statement Rank and the Earnings Valuation Rank.</t>
  </si>
  <si>
    <t>mdl77_2liquidityriskfactor_lfd</t>
  </si>
  <si>
    <t>The sum of the trailing 12-month pretax income and the trailing 12-month interest expense divided by the trailing 12-month pretax income.</t>
  </si>
  <si>
    <t>mdl177_historicalgrowthfactor_susgrowth_alt</t>
  </si>
  <si>
    <t>mdl177_earningsqualityfactor_wcacc</t>
  </si>
  <si>
    <t>Working capital accruals; sum of changes in receivables, inventory, payables, taxes, assets/liabilities</t>
  </si>
  <si>
    <t>mdl177_valanalystmodel_qva_invsentiment</t>
  </si>
  <si>
    <t>Investor Sentiment Rank</t>
  </si>
  <si>
    <t>mdl177_valueanalystmodel_qva_capexdep_alt</t>
  </si>
  <si>
    <t>Rank based on the ratio of capital expenditures to depreciation</t>
  </si>
  <si>
    <t>mdl177_2_earningmomentumfactor400_rev6</t>
  </si>
  <si>
    <t>Averaged revision in consensus FY1 EPS estimates over the last 6 months</t>
  </si>
  <si>
    <t>mdl177_earningmomentumfactor_fqsurs_std_alt</t>
  </si>
  <si>
    <t>Most recent earnings surprise standardized (actual minus expected EPS)</t>
  </si>
  <si>
    <t>mdl177_historicalgrowthfactor_cv4qocf3y</t>
  </si>
  <si>
    <t>Coefficient of variation (stability) of trailing 12-month operating cash flow per share over the past 3 years</t>
  </si>
  <si>
    <t>mdl177_2_valuemomentummodel_managementsignalingmodule</t>
  </si>
  <si>
    <t>Management Signaling Module</t>
  </si>
  <si>
    <t>mdl177_fangma_dvm_usa_fangma_dvm4</t>
  </si>
  <si>
    <t>Deep value model 4 for FANGMA (Facebook, Apple, Netflix, Google, Microsoft, Amazon)</t>
  </si>
  <si>
    <t>mdl77_earningsqualityfactor_ccacw</t>
  </si>
  <si>
    <t>Working Capital Accruals: It equals to: Increase in Accounts Receivables + Increase in Inventory + Decrease in Accounts Payable and Accrued Liabilities + Decrease in Accrued Income Taxes + Increase (Decrease) in Assets (Liabilities).</t>
  </si>
  <si>
    <t>mdl77_pricemomentummodel_rationalalpha</t>
  </si>
  <si>
    <t>Rational Decay Alpha: It evaluates stocks based on their historical 12-month market (S&amp;P 500) adjusted excess return (the Y intercept from an OLS regression equation) using a proprietary rational decay function</t>
  </si>
  <si>
    <t>mdl77_2valueanalystmodel_qva_pegy</t>
  </si>
  <si>
    <t>mdl77_shortsentimentfactor_act_util</t>
  </si>
  <si>
    <t>Account Utility</t>
  </si>
  <si>
    <t>mdl177_fangma_mam_usa_fangma_mam11</t>
  </si>
  <si>
    <t>Momentum analyst model 11 for FANGMA (Facebook, Apple, Netflix, Google, Microsoft, Amazon)</t>
  </si>
  <si>
    <t>mdl177_valueanalystmodel_qva_earnquality_alt</t>
  </si>
  <si>
    <t>Rank of earnings quality, reflecting the reliability and sustainability of reported earnings</t>
  </si>
  <si>
    <t>mdl177_2_historicalgrowthfactor_chg3yocfast</t>
  </si>
  <si>
    <t>Change in trailing 12-month operating cash flow from 12 quarters ago, divided by average total assets</t>
  </si>
  <si>
    <t>mdl177_2_historicalgrowthfactor_div5yg</t>
  </si>
  <si>
    <t>5-year growth rate of dividends</t>
  </si>
  <si>
    <t>mdl177_2_earningmomentumfactor400_cvfy1eps</t>
  </si>
  <si>
    <t>Coefficient of variance (dispersion) in FY1 EPS consensus estimates</t>
  </si>
  <si>
    <t>mdl177_earningmomentumfactor_dypeg_alt</t>
  </si>
  <si>
    <t>Reciprocal of dividend yield-adjusted PEG ratio</t>
  </si>
  <si>
    <t>mdl177_fangma_dvm_usa_fangma_dvm1</t>
  </si>
  <si>
    <t>Deep value model 1 for FANGMA (Facebook, Apple, Netflix, Google, Microsoft, Amazon)</t>
  </si>
  <si>
    <t>mdl77_oearningmomentumfactor_dypeg</t>
  </si>
  <si>
    <t>Reciprocal of Dividend Yield-adjusted PEG: It is defined as the reciprocal of a stock's forward 12-month P/E ratio divided by the total growth rate. The total growth rate is defined as the sum of the forecasted long-term growth rate and the indicated dividend yield.</t>
  </si>
  <si>
    <t>mdl77_fangma_mam11</t>
  </si>
  <si>
    <t>Momentum Analyst Model 11 for FANGMA (Facebook, Apple, Netflix, Google, Microsoft, Amazon)</t>
  </si>
  <si>
    <t>mdl77_historicalgrowthfactor_y3fcoq4vc</t>
  </si>
  <si>
    <t>The standard deviation of the ratio for the values that a company generates scaled by its mean in the previous 12 quarters in a trailing 1 year.</t>
  </si>
  <si>
    <t>mdl77_industryrelativevaluefactor_curindsp_</t>
  </si>
  <si>
    <t>Industry Relative TTM Sales-to-Price: It is defined as a stock's trailing 12-month sales-to-price ratio (SP) less the average of the SPs of all stocks in the same industry deflated by the standard deviation of the SPs of all stocks in the same relative universe.</t>
  </si>
  <si>
    <t>mdl177_2_pricemomentumfactor_actrtn2m</t>
  </si>
  <si>
    <t>Percent change in the stock's price over the last 2 months</t>
  </si>
  <si>
    <t>mdl177_2_historicalgrowthfactor_reinrate</t>
  </si>
  <si>
    <t>Reinvestment rate: trailing 12-month EPS before extra items minus dividends per share, divided by average book equity per share</t>
  </si>
  <si>
    <t>mdl177_earningmomentumfactor_rev3y1_alt</t>
  </si>
  <si>
    <t>Change in FY1 EPS forecasts over the past three months</t>
  </si>
  <si>
    <t>mdl177_2_deepvaluemodel_ttmfcev</t>
  </si>
  <si>
    <t>Trailing twelve month free cash flow to enterprise value ratio; reflects free cash flow over the past year relative to enterprise value</t>
  </si>
  <si>
    <t>mdl177_liquidityriskfactor_sip_alt</t>
  </si>
  <si>
    <t>Short interest position: number of shares sold short as reported, reflecting bearish sentiment or hedging activity</t>
  </si>
  <si>
    <t>mdl77_liquidityriskfactor_sip</t>
  </si>
  <si>
    <t>Short Interest Position: It is defined as the number of shares sold short divided by common shares outstanding</t>
  </si>
  <si>
    <t>mdl77_2historicalgrowthfactor_reinrate</t>
  </si>
  <si>
    <t>Reinvestment Rate: It is defined as the trailing 12-month earnings per share before extra items less the trailing 12-month dividends per share by ex-date divided by the average book equity per share in the same period.</t>
  </si>
  <si>
    <t>mdl77_valueanalystmodelqva_invsentiment</t>
  </si>
  <si>
    <t>The equal-weighted sum based on a ratio of the number of stocks and those that have been sold short by investors.</t>
  </si>
  <si>
    <t>mdl177_2_sensitivityfactor400_ceroe</t>
  </si>
  <si>
    <t>Cash Earnings Return On Equity</t>
  </si>
  <si>
    <t>mdl177_fa_cashsev</t>
  </si>
  <si>
    <t>Total cash &amp; equivalents divided by enterprise value</t>
  </si>
  <si>
    <t>mdl177_2_pricemomentumfactor_skew90cortn</t>
  </si>
  <si>
    <t>Skewness of daily stock excess returns (vs. S&amp;P 500 index) over the previous 90 days</t>
  </si>
  <si>
    <t>mdl177_2_historicalgrowthfactor_saleg5y</t>
  </si>
  <si>
    <t>5-year growth in sales per share, difference from 20 quarters ago, deflated by average sales in the prior 20 quarters</t>
  </si>
  <si>
    <t>mdl177_2_managementqualityfactor_min2ygrossmargin</t>
  </si>
  <si>
    <t>Lowest gross margin over the last 2 years</t>
  </si>
  <si>
    <t>mdl177_historicalgrowthfactor_chgocfp</t>
  </si>
  <si>
    <t>Difference between most recent trailing 12-month operating cash flow per share and that 4 quarters ago, divided by trading price</t>
  </si>
  <si>
    <t>mdl177_historicalgrowthfactor_reinrate</t>
  </si>
  <si>
    <t>Reinvestment rate: (TTM EPS before extras minus TTM dividends, divided by average book equity per share)</t>
  </si>
  <si>
    <t>mdl77_oearningmomentumfactor_spe2yfvc</t>
  </si>
  <si>
    <t>FY2 EPS Forecast Dispersion: It is defined as the standard deviation of analyst earnings estimates for fiscal year 2 divided by the mean consensus forecast.</t>
  </si>
  <si>
    <t>mdl77_historicalgrowthfactor_reinrate</t>
  </si>
  <si>
    <t>mdl177_fa_divcov</t>
  </si>
  <si>
    <t>Dividend coverage ratio (earnings or cash flow available to cover dividend payments)</t>
  </si>
  <si>
    <t>mdl177_pricemomentumfactor_varresirtn</t>
  </si>
  <si>
    <t>Variance of residual returns over past 24 months (measures risk not explained by common factors)</t>
  </si>
  <si>
    <t>mdl177_2_liquidityriskfactor_cvvolp20d</t>
  </si>
  <si>
    <t>Ratio of coefficient of variation of last 20 days' closing prices to coefficient of variation of daily trading volume for same period; a liquidity or volatility indicator</t>
  </si>
  <si>
    <t>mdl177_2_managementqualityfactor_cashburnrate</t>
  </si>
  <si>
    <t>Negative of (cash from operations + cash from investments) divided by (cash + short-term investments)</t>
  </si>
  <si>
    <t>mdl177_growthanalystmodel_qga_iarsales_alt</t>
  </si>
  <si>
    <t>mdl77_pricemomentumfactor_varresirtn</t>
  </si>
  <si>
    <t>24-Month Residual Return Variance: It is defined as the variance of a stock's monthly residual return in the last 24 months. The monthly residual return equals the stock's monthly return minus the product of the multiplication of a stock's proprietary 60-month Beta by the S&amp;P...</t>
  </si>
  <si>
    <t>mdl77_2earningmomentumfactor400_spe1yfvc</t>
  </si>
  <si>
    <t>FY1 EPS Estimates Dispersion: It is defined as the standard deviation of analyst earnings estimates for fiscal year 1 divided by the mean consensus forecast.</t>
  </si>
  <si>
    <t>mdl77_2pricemomentumfactor_skew90cortn</t>
  </si>
  <si>
    <t>Skewness of 90-Day Stock Daily Excess Returns: It is defined as the skewness of the distribution of a stock's daily excess (compared to the S&amp;P 500 index) price returns in the last 90 days. Skewness = 3*(Mean-Median)/Standard Deviation.</t>
  </si>
  <si>
    <t>mdl177_historicalgrowthfactor_slope4qeps3y_alt</t>
  </si>
  <si>
    <t>Slope coefficient of 3-year trend line of trailing 12-month earnings per share</t>
  </si>
  <si>
    <t>mdl177_fa_flowratio</t>
  </si>
  <si>
    <t>(Current assets minus cash and equivalents) divided by (current liabilities minus short-term debt)</t>
  </si>
  <si>
    <t>mdl177_2_historicalgrowthfactor_pctchgfcf</t>
  </si>
  <si>
    <t>Percent change in trailing 12-month free cash flow per share compared to 4 quarters ago</t>
  </si>
  <si>
    <t>mdl177_2_liquidityriskfactor_pcurlia</t>
  </si>
  <si>
    <t>Current liabilities per share (from latest report) divided by the company's closing share price, indicating balance sheet risk relative to equity value</t>
  </si>
  <si>
    <t>mdl177_2_managementqualityfactor_cashsale</t>
  </si>
  <si>
    <t>Cash-to-sales: average cash &amp; equivalents in trailing 12 months divided by trailing 12-month sales</t>
  </si>
  <si>
    <t>mdl177_liquidityriskfactor_divcov_alt</t>
  </si>
  <si>
    <t>Dividend coverage ratio: company's trailing annual operating earnings divided by annual dividends; reflects ability to pay dividends from earnings</t>
  </si>
  <si>
    <t>mdl77_ohistoricalgrowthfactor_slope4qeps3y</t>
  </si>
  <si>
    <t>Slope of 3-Yr TTM EPS Trend Line: It is defined as the slope coefficient between monthly dates and the corresponding trailing 12-month earnings per share before extra items in the prior 12 quarters.</t>
  </si>
  <si>
    <t>mdl77_ovalueanalystmodel_ccaghc_avq</t>
  </si>
  <si>
    <t>mdl177_historicalgrowthfactor_chg3yocfast_alt</t>
  </si>
  <si>
    <t>Three-year change in operating cash flow adjusted by average total assets (most recent trailing 12-month minus trailing 12-month 12 quarters ago, divided by average assets)</t>
  </si>
  <si>
    <t>mdl177_historicalgrowthfactor_chgopm_alt</t>
  </si>
  <si>
    <t>Change in quarterly operating profit margin (income from operations divided by total sales) compared to 4 quarters ago</t>
  </si>
  <si>
    <t>mdl177_2_pricemomentumfactor_rationalalpha</t>
  </si>
  <si>
    <t>Proprietary measure of the stock's 12-month market-adjusted excess return (regression Y-intercept vs S&amp;P 500) adjusted by a rational decay process</t>
  </si>
  <si>
    <t>mdl177_earningmomentumfactor_perg</t>
  </si>
  <si>
    <t>Risk-adjusted PEG ratio, calculated as stock price divided by leading 12-month consensus earnings forecast, scaled by average long-term growth rate estimate, and multiplied by the stock's 36-month beta</t>
  </si>
  <si>
    <t>mdl177_2_growthanalystmodel_qga_eps_capex</t>
  </si>
  <si>
    <t>EPS Growth to CapEx Link</t>
  </si>
  <si>
    <t>mdl177_pricemomentumfactor_actrtn1m</t>
  </si>
  <si>
    <t>Percent change in stock price in last month</t>
  </si>
  <si>
    <t>mdl177_2_globaldevnorthamerica_v502_fc_fwdep</t>
  </si>
  <si>
    <t>Leading 12-Month Mean Earnings Yield: Next four quarters' mean consensus earnings estimate divided by trading price</t>
  </si>
  <si>
    <t>mdl177_liquidityriskfactor_mad3yttmni_alt</t>
  </si>
  <si>
    <t>3-year mean absolute deviation of trailing 12-month net income, a measure of profit variability</t>
  </si>
  <si>
    <t>mdl177_liquidityriskfactor_tobinq_alt</t>
  </si>
  <si>
    <t>Tobin's Q ratio: (Market value of equity plus debt) divided by total assets (debt at book value); assesses firm valuation vs assets</t>
  </si>
  <si>
    <t>mdl177_earningsmomentummodel_fc_fqsurstd_alt</t>
  </si>
  <si>
    <t>Most recent quarterly earnings surprise (actual EPS minus consensus) standardized by the standard deviation of analyst EPS estimates</t>
  </si>
  <si>
    <t>mdl77_ohistoricalgrowthfactor_chg3yocfast</t>
  </si>
  <si>
    <t>3-yr Change in Assets-adj TTM Cash Flow: It is defined as the most recently reported trailing 12-month operating cash flow minus 12 quarters ago comparable trailing 12-month cash flow scaled by the average total assets in the same period.</t>
  </si>
  <si>
    <t>mdl77_ohistoricalgrowthfactor_fcghc</t>
  </si>
  <si>
    <t>1-yr Change in Assets-adj TTM Cash Flow: It is defined as the trailing 12-month cash flow minus comparable trailing 12-month cash flow from 4 quarters ago scaled by the average total assets.</t>
  </si>
  <si>
    <t>mdl77_liquidityriskfactor_mad3yttmni</t>
  </si>
  <si>
    <t>3-yr MAD of TTM Net Income: It is defined as the mean absolute deviation of the last 12 quarters' trailing 12-month net income deflated by the average of total assets.</t>
  </si>
  <si>
    <t>mdl77_2gdna_pfcomtt</t>
  </si>
  <si>
    <t>Leading 12-Month Mean Earnings Yield: It is defined as the next 4 quarters' mean consensus earnings estimate divided by the price.</t>
  </si>
  <si>
    <t>mdl177_fa_ratrev6m</t>
  </si>
  <si>
    <t>Six-month average change in analyst recommendation (Street Rating Revision)</t>
  </si>
  <si>
    <t>mdl177_earningmomentumfactor_fqsurs_std</t>
  </si>
  <si>
    <t>Most recent earnings surprise; standardized value quantifying how actual earnings differed from consensus in latest reporting</t>
  </si>
  <si>
    <t>mdl177_fangma_mam_usa_fangma_mam5</t>
  </si>
  <si>
    <t>Momentum analyst model 5 for FANGMA (Facebook, Apple, Netflix, Google, Mircosoft, Amazon)</t>
  </si>
  <si>
    <t>mdl177_fangma_mam_usa_fangma_mam6</t>
  </si>
  <si>
    <t>Momentum analyst model 6 for FANGMA (Facebook, Apple, Netflix, Google, Mircosoft, Amazon)</t>
  </si>
  <si>
    <t>mdl177_valueanalystmodel_qva_valuation</t>
  </si>
  <si>
    <t>Rank of the stock's valuation metrics relative to the universe</t>
  </si>
  <si>
    <t>mdl177_2_earningmomentumfactor400_numrevy1</t>
  </si>
  <si>
    <t>Net number of upward minus downward revisions in FY1 EPS forecasts</t>
  </si>
  <si>
    <t>mdl177_deepvaluefactor_ebitdaev_alt</t>
  </si>
  <si>
    <t>TTM EBITDA-to-Enterprise Value: trailing 12-month EBITDA divided by enterprise value</t>
  </si>
  <si>
    <t>mdl177_2_managementqualityfactor_netdebt</t>
  </si>
  <si>
    <t>Net Debt Ratio: net debt divided by sum of net debt, preferred stock, and common stock, with net debt as long-term plus short-term debt minus cash &amp; equivalents (most recent quarter)</t>
  </si>
  <si>
    <t>mdl177_historicalgrowthfactor_chg3yocfast</t>
  </si>
  <si>
    <t>Three-year change in assets-adjusted trailing twelve-month operating cash flow (OCF minus value 12 quarters ago, scaled by avg assets)</t>
  </si>
  <si>
    <t>mdl177_5shortsentimentfactor_days_to_cover</t>
  </si>
  <si>
    <t>Days to Cover: number of days it would take for all current short positions to be repurchased (covered), given average trading volume; reflects potential risk of short squeezes</t>
  </si>
  <si>
    <t>Moderate</t>
  </si>
  <si>
    <t>Session 19: E5qJ5qr0 corr 0.36, sharpe 1.70, fitness 1.00. Submittable.</t>
  </si>
  <si>
    <t>mdl77_liquidityriskfactor_divcov</t>
  </si>
  <si>
    <t>Company's trailing 1-year profits scaled by its annual dividends.</t>
  </si>
  <si>
    <t>mdl77_earningsmomentummodel_fc_fqsurstd</t>
  </si>
  <si>
    <t>mdl77_2mqf_cashburnrate</t>
  </si>
  <si>
    <t>Cash Burn Rate: It is defined as: -(Cash From Operations + Cash from Investments) / (Cash + Short-Term Investments).</t>
  </si>
  <si>
    <t>mdl77_2pricemomentumfactor_rationalalpha</t>
  </si>
  <si>
    <t>Rational Decay Alpha: It evaluates stocks based on their historical 12-month market (S&amp;P 500) adjusted excess return (the Y intercept from an OLS regression equation) using a proprietary rational decay function.</t>
  </si>
  <si>
    <t>mdl177_fangma_emf_usa_fangma_emf15</t>
  </si>
  <si>
    <t>Earnings momentum factors 15 for FANGMA (Facebook, Apple, Netflix, Google, Microsoft, Amazon)</t>
  </si>
  <si>
    <t>mdl177_earningsqualityfactor_saleeps</t>
  </si>
  <si>
    <t>Absolute difference between yearly percent change in sales per share and yearly percent change in diluted EPS</t>
  </si>
  <si>
    <t>mdl177_2_historicalgrowthfactor_pctchgqtrast</t>
  </si>
  <si>
    <t>Percent change in most recent reported quarterly total assets per share compared to four quarters ago</t>
  </si>
  <si>
    <t>mdl177_earningmomentumfactor_sucf_alt</t>
  </si>
  <si>
    <t>Standardized Unexpected Cash Flow</t>
  </si>
  <si>
    <t>mdl177_2_liquidityriskfactor_covol</t>
  </si>
  <si>
    <t>Slope of the regression line across 60 months of trading volume against time; indicates trend in trading activity</t>
  </si>
  <si>
    <t>mdl177_2_liquidityriskfactor_mktcappera</t>
  </si>
  <si>
    <t>Current market capitalization divided by the number of analysts providing fiscal year 1 earnings estimates</t>
  </si>
  <si>
    <t>mdl177_2_managementqualityfactor_min3yopmargin</t>
  </si>
  <si>
    <t>Lowest operating profit margin over the last 3 years</t>
  </si>
  <si>
    <t>mdl177_earningsqualityfactor_chgsagasale_alt</t>
  </si>
  <si>
    <t>Change in quarterly SG&amp;A expenses versus sales; difference in SG&amp;A-to-sales ratios</t>
  </si>
  <si>
    <t>mdl77_oearningmomentumfactor_fcus</t>
  </si>
  <si>
    <t>Standardized Unexpected Cash Flow: It is defined as the most recent quarterly operating cash flow minus that of 4 quarters ago, divided by the standard deviation of this difference over the preceding 8 quarters.</t>
  </si>
  <si>
    <t>mdl77_divcov</t>
  </si>
  <si>
    <t>mdl77_2rel5yfwdep</t>
  </si>
  <si>
    <t>5-yr Relative Leading 12-Month Earnings Yield: It is defined as a stock's current next 4-quarter's consensus analyst earnings forecasts-to-price ratio (FwDEP) minus the average of the FwDEPs ratio in the last 60 months scaled by the standard deviation of the FwDEPs over the same...</t>
  </si>
  <si>
    <t>mdl77_2liquidityriskfactor_covol</t>
  </si>
  <si>
    <t>60-Month Trading Volume Trend: It is defined as the slope of the least squares regression line of the last 60 months of monthly trading volume against time.</t>
  </si>
  <si>
    <t>mdl177_put_put_siratio</t>
  </si>
  <si>
    <t>Short interest ratio, measuring the relative amount of shares shorted compared to available shares or average daily volume</t>
  </si>
  <si>
    <t>mdl177_fa_chgsagasale</t>
  </si>
  <si>
    <t>Change in SG&amp;A Expenses versus Sales: difference between annualized quarterly SG&amp;A change and sales change</t>
  </si>
  <si>
    <t>mdl177_2_pricemomentumfactor_pvt51w</t>
  </si>
  <si>
    <t>51-week volume price trend indicator with a 4-week lag</t>
  </si>
  <si>
    <t>mdl177_2_deepvaluefactor_ttmsaleev</t>
  </si>
  <si>
    <t>Trailing 12-month sales divided by enterprise value</t>
  </si>
  <si>
    <t>mdl177_2_historicalgrowthfactor_pctchgeps</t>
  </si>
  <si>
    <t>Percent change in trailing 12-month EPS before extra items compared to 4 quarters ago</t>
  </si>
  <si>
    <t>mdl177_2_liquidityriskfactor_atmcallvol</t>
  </si>
  <si>
    <t>Implied volatility of the company's nearest at-the-money call options</t>
  </si>
  <si>
    <t>mdl177_v1_400_curindsp_</t>
  </si>
  <si>
    <t>Industry relative trailing 12-month sales-to-price ratio: stock's TTM sales-to-price minus industry average, deflated by industry standard deviation</t>
  </si>
  <si>
    <t>mdl177_liquidityriskfactor_milliq_alt</t>
  </si>
  <si>
    <t>Stock illiquidity measure: Monthly average of daily absolute return divided by daily dollar trading volume</t>
  </si>
  <si>
    <t>mdl77_2liquidityriskfactor_atmcallvol</t>
  </si>
  <si>
    <t>At the Money Call Option Implied Volatility: It is defined as the time-weighted average implied volatility of the nearest-to-expiration and next-nearest to expiration at the money call option contracts.</t>
  </si>
  <si>
    <t>mdl77_2valueanalystmodel_ccaghc_avq</t>
  </si>
  <si>
    <t>mdl177_earningmomentumfactor_salesurp</t>
  </si>
  <si>
    <t>Sales surprise; positive or negative deviation in actual sales versus consensus forecasts</t>
  </si>
  <si>
    <t>mdl177_2_deepvaluefactor_ttmsp</t>
  </si>
  <si>
    <t>Trailing 12-month sales per share divided by month-end trading price</t>
  </si>
  <si>
    <t>mdl177_2_relativevaluemodel_roe</t>
  </si>
  <si>
    <t>Return on Equity; trailing 12-month income before extra items divided by average common equity for the same period</t>
  </si>
  <si>
    <t>mdl177_industryrelativevaluefactor_curindfcf p_alt</t>
  </si>
  <si>
    <t>A stock's trailing 12-month free cash flow-to-price ratio minus the industry average, adjusted by dividing with the industry standard deviation (industry-relative TTM free cash flow-to-price ratio standardized by industry)</t>
  </si>
  <si>
    <t>mdl177_historicalgrowthfactor_slope4qcf3y_alt</t>
  </si>
  <si>
    <t>Slope coefficient of 3-year trend line of trailing 12-month cash flow per share</t>
  </si>
  <si>
    <t>mdl177_earningmomentumfactor_cvfy1eps</t>
  </si>
  <si>
    <t>Forecast dispersion for FY1 EPS; standard deviation of analyst estimates for fiscal year 1 divided by mean</t>
  </si>
  <si>
    <t>mdl177_earningmomentumfactor_cvfy2eps</t>
  </si>
  <si>
    <t>Forecast dispersion for FY2 EPS; standard deviation of analyst estimates for fiscal year 2 earnings per share divided by the mean</t>
  </si>
  <si>
    <t>mdl177_earningsqualityfactor_opincltd</t>
  </si>
  <si>
    <t>Difference between yearly percent change in operating income and yearly percent change in long-term debt</t>
  </si>
  <si>
    <t>mdl177_2_deepvaluefactor_nnastp</t>
  </si>
  <si>
    <t>Net current assets per share (current assets minus total liabilities) divided by trading price</t>
  </si>
  <si>
    <t>mdl177_earningmomentumfactor_rev6_alt</t>
  </si>
  <si>
    <t>Average of analyst earnings per share (EPS) estimate revisions for fiscal year 1 (FY1) over the past 6 months</t>
  </si>
  <si>
    <t>mdl177_earningmomentumfactor_perg_alt</t>
  </si>
  <si>
    <t>Risk-adjusted PEG ratio accounting for price, forecast EPS, growth rate, and 36-month beta</t>
  </si>
  <si>
    <t>mdl177_2_liquidityriskfactor_monchsip</t>
  </si>
  <si>
    <t>Month-to-month change in short interest position (ratio), measures change in the amount of stock sold short</t>
  </si>
  <si>
    <t>mdl177_2_liquidityriskfactor_liqcoeff</t>
  </si>
  <si>
    <t>Liquidity coefficient; slope from regression between monthly trading turnover ratio and monthly price returns</t>
  </si>
  <si>
    <t>mdl177_2_liquidityriskfactor_divcov</t>
  </si>
  <si>
    <t>Ratio of trailing 1-year profits to annual dividends, representing coverage of dividends by earnings</t>
  </si>
  <si>
    <t>mdl177_2_liquidityriskfactor_gear</t>
  </si>
  <si>
    <t>Capital gearing ratio; long-term debt divided by (total assets minus current liabilities)</t>
  </si>
  <si>
    <t>mdl177_momemtumanalystmodel_qma_rskadj</t>
  </si>
  <si>
    <t>Risk Adjustments Rank: a rank aggregating volatility and growth subfactors, penalizing stocks with high volume volatility and return deviations</t>
  </si>
  <si>
    <t>mdl177_liquidityriskfactor_ocfratio_alt</t>
  </si>
  <si>
    <t>Operating cash flow ratio: Most recent quarterly cash flow from operations divided by current liabilities</t>
  </si>
  <si>
    <t>mdl177_liquidityriskfactor_qr_alt</t>
  </si>
  <si>
    <t>Quick (acid-test) ratio: (Current assets minus inventories) divided by current liabilities, most recent quarter</t>
  </si>
  <si>
    <t>mdl177_earningsqualityfactor_wcacc_alt</t>
  </si>
  <si>
    <t>Working capital accruals, sum of changes in receivables, inventory, payables, taxes, and other current assets/liabilities</t>
  </si>
  <si>
    <t>mdl77_deepvaluefactor_ebitdaev</t>
  </si>
  <si>
    <t>TTM EBITDA-to-Enterprise Value: It is defined as the trailing 12-month earnings before interest, taxes, depreciation, and amortization for a stock deflated by its enterprise value (EV). EV = Equity Market Value + Long-Term Debt + Short-Term Debt + Preferred Stock + Minority Intere...</t>
  </si>
  <si>
    <t>mdl77_oearningmomentumfactor_perg</t>
  </si>
  <si>
    <t>Risk-Adjusted PEG Ratio: It is defined as the stock price divided by the leading 12-month consensus earnings forecast, scaled by the average long-term growth rate estimate, and multiplied by the stock's 36-month beta.</t>
  </si>
  <si>
    <t>mdl77_2garpanalystmodel_qgp_capeff</t>
  </si>
  <si>
    <t>Capital Effectiveness: Capital Effectiveness</t>
  </si>
  <si>
    <t>mdl77_2liquidityriskfactor_divcov</t>
  </si>
  <si>
    <t>mdl77_25saleicap</t>
  </si>
  <si>
    <t>The trailing 12-month total revenues divided by the average of the invested capital in the same period.</t>
  </si>
  <si>
    <t>mdl177_2_momemtumanalystmodel_qma_repearnmom</t>
  </si>
  <si>
    <t>Rank representing average of earnings growth and earnings surprise, measuring earnings momentum</t>
  </si>
  <si>
    <t>mdl177_historicalgrowthfactor_fcfequity_alt</t>
  </si>
  <si>
    <t>Trailing 12-month free cash flow divided by average book equity value for the same period</t>
  </si>
  <si>
    <t>current_liabilities_to_price</t>
  </si>
  <si>
    <t>Current Liabilities-to-Price</t>
  </si>
  <si>
    <t>mdl177_2_deepvaluefactor_past</t>
  </si>
  <si>
    <t>Price-to-total assets ratio (month-end trading price divided by total assets per share)</t>
  </si>
  <si>
    <t>mdl177_2_managementqualityfactor_roe</t>
  </si>
  <si>
    <t>Return on equity: trailing 12-month income before extra items divided by average common equity in the same period</t>
  </si>
  <si>
    <t>mdl177_v1_400_sue</t>
  </si>
  <si>
    <t>Standardized unexpected earnings; measure of surprise in reported earnings relative to analyst forecasts, standardized by historical volatility</t>
  </si>
  <si>
    <t>mdl177_2_valueanalystmodel_qva_alertrank</t>
  </si>
  <si>
    <t>mdl77_liquidityriskfactor_milliq</t>
  </si>
  <si>
    <t>Stock Illiquidity: It is defined as the monthly average of the daily absolute return to the daily dollar trading volume ratio.</t>
  </si>
  <si>
    <t>mdl77_liquidityriskfactor_ocfratio</t>
  </si>
  <si>
    <t>Operating Cash Flow Ratio: It is defined as the stock's most recently reported quarterly cash flow from operations divided by its current liabilities.</t>
  </si>
  <si>
    <t>mdl77_2liquidityriskfactor_gear</t>
  </si>
  <si>
    <t>Capital Gearing Ratio: It is defined as the long-term debt divided by the difference between total assets and current liability.</t>
  </si>
  <si>
    <t>mdl77_2valueanalystmodel_qva_alertrank</t>
  </si>
  <si>
    <t>The aggregate of the Earnings Quality (50%), Investor Sentiment (25%) and Management Signaling (25%) Rank.</t>
  </si>
  <si>
    <t>mdl177_2_momemtumanalystmodel_qma_earnxp</t>
  </si>
  <si>
    <t>Rank for analyst expectations, calculated as equal-weighted average of earnings revisions and ratings change ranks</t>
  </si>
  <si>
    <t>mdl177_earningmomentumfactor_stockrating</t>
  </si>
  <si>
    <t>Consensus analyst recommendation for the stock</t>
  </si>
  <si>
    <t>mdl177_earningmomentumfactor_dypeg</t>
  </si>
  <si>
    <t>Reciprocal of dividend yield-adjusted PEG ratio; valuation metric adjusting PEG by dividend yield</t>
  </si>
  <si>
    <t>mdl177_valueanalystmodel_qva_alertrank_alt</t>
  </si>
  <si>
    <t>mdl177_valueanalystmodel_qva_chginv_alt</t>
  </si>
  <si>
    <t>Rank based on the change in inventory levels relative to other companies</t>
  </si>
  <si>
    <t>mdl177_2_earningmomentumfactor400_stdvfy1epsp</t>
  </si>
  <si>
    <t>Standard deviation of FY1 EPS estimates scaled by price</t>
  </si>
  <si>
    <t>mdl177_earningmomentumfactor_stockrating_alt</t>
  </si>
  <si>
    <t>Consensus recommendation for the stock (e.g., buy/hold/sell)</t>
  </si>
  <si>
    <t>mdl177_2_liquidityriskfactor_intcov</t>
  </si>
  <si>
    <t>Interest coverage; latest quarterly operating income before depreciation divided by long-term debt interest expenses</t>
  </si>
  <si>
    <t>mdl177_deepvaluefactor_ttmgfp_alt</t>
  </si>
  <si>
    <t>TTM Growth Flow-to-Price: trailing four quarters GAAP earnings plus R&amp;D expenses per share divided by trading price</t>
  </si>
  <si>
    <t>mdl177_2_managementqualityfactor_ocfroi</t>
  </si>
  <si>
    <t>Operating cash flow return on invested capital: trailing 12-month operating cash flow divided by average invested capital over same period</t>
  </si>
  <si>
    <t>mdl177_2_managementqualityfactor_cashc</t>
  </si>
  <si>
    <t>Cash cycle: average inventory days plus average collection days minus average payable days</t>
  </si>
  <si>
    <t>mdl177_liquidityriskfactor_mktcappera_alt</t>
  </si>
  <si>
    <t>Market capitalization divided by number of analysts providing estimates; reflects stock interest or coverage per analyst</t>
  </si>
  <si>
    <t>mdl177_2_garpanalystmodel_qgp_avgrating</t>
  </si>
  <si>
    <t>Average of analyst ratings for the stock, reflecting consensus analyst opinion</t>
  </si>
  <si>
    <t>mdl77_oearningmomentumfactor_spe1yfvc</t>
  </si>
  <si>
    <t>mdl77_industryrelativevaluefactor_curindcfp_</t>
  </si>
  <si>
    <t>Industry Relative TTM Cash Flow-to-Price: It is defined as a stock's trailing 12-month cash flow-to-price ratio (CFP) less the average of the CFPs of all stocks in the same industry deflated by the standard deviation of the CFPs of all stocks in the same relative universe.</t>
  </si>
  <si>
    <t>mdl77_400_fcus</t>
  </si>
  <si>
    <t>mdl77_25yearrelativevaluefactor_rel5yebitdap</t>
  </si>
  <si>
    <t>5-yr Relative TTM EBITDA-to-Price: It is defined as a stock's current trailing 12-month EBITDA per share-to-price ratio (EBITDAP) minus the average of the EBITDAPs in the last 60 months, scaled by the standard deviation of the EBITDAPs over the same period.</t>
  </si>
  <si>
    <t>mdl177_2_earningsmomentummodel_fc_rev3y2</t>
  </si>
  <si>
    <t>3-M Revision in FY2 EPS Forecasts: It is defined as the change in a stock's current analysts mean earnings estimate for fiscal year 2 less that of 3 months ago deflated by its month-end trading price.</t>
  </si>
  <si>
    <t>mdl77_2momemtumanalystmodel_ghcfcmtt_amq</t>
  </si>
  <si>
    <t>Change in TTM Free Cash Flow Rank: It is defined as the 2Q change in a stock's trailing twelve-month free cash flow, divided by the absolute value of a stock's trailing twelve-month free cash flow from two quarters ago.</t>
  </si>
  <si>
    <t>mdl177_fangma_emf_usa_fangma_emf3</t>
  </si>
  <si>
    <t>Earnings momentum factors 3 for FANGMA (Facebook, Apple, Netflix, Google, Mircosoft, Amazon)</t>
  </si>
  <si>
    <t>mdl177_fa_fc_egp</t>
  </si>
  <si>
    <t>Inverse PEG ratio, calculated using next 4 quarters' earnings estimate times long-term growth rate, divided by price</t>
  </si>
  <si>
    <t>mdl177_valanalystmodel_qva_valuation</t>
  </si>
  <si>
    <t>Valuation Rank</t>
  </si>
  <si>
    <t>mdl177_2_globaldevnorthamerica_v502_fc_pdy</t>
  </si>
  <si>
    <t>Predicted Dividend Yield: Assumed payout ratio times next four quarters' consensus earnings estimate divided by trading price; payout ratio blended from last year, consensus long-term growth rate, and base value</t>
  </si>
  <si>
    <t>mdl177_2_globaldevnorthamerica_v502_bp</t>
  </si>
  <si>
    <t>Book-to-Market: most recent book value per share divided by month-end trading price, a value investing measure</t>
  </si>
  <si>
    <t>mdl177_valueanalystmodel_qva_earnval</t>
  </si>
  <si>
    <t>Rank of earnings valuation, likely earnings yield or related valuation metric</t>
  </si>
  <si>
    <t>mdl177_pricemomentummodel_relpricestrength_</t>
  </si>
  <si>
    <t>Industry-adjusted 12-month relative price strength: Stock's 12-month price strength minus the industry average, deflated by the standard deviation of industry price strengths</t>
  </si>
  <si>
    <t>mdl177_2_earningmomentumfactor400_y1aepsg</t>
  </si>
  <si>
    <t>EPS growth estimate for next fiscal year</t>
  </si>
  <si>
    <t>mdl177_industryrelativevaluefactor_curindsp_alt</t>
  </si>
  <si>
    <t>A stock's trailing 12-month sales-to-price ratio minus the industry average, adjusted by dividing by the industry standard deviation (industry-relative TTM sales-to-price ratio standardized by industry)</t>
  </si>
  <si>
    <t>mdl77_valueanalystmodel_qva_earnval</t>
  </si>
  <si>
    <t>The equal-weighted average of ranks based on price, earnings, growth, and yield.</t>
  </si>
  <si>
    <t>mdl77_2gdna_ydp_cf</t>
  </si>
  <si>
    <t>Predicted Dividend Yield: It is defined as an assumed payout ratio multiplied by the next 4-quarter consensus earnings estimate divided by trading price. The payout ratio assumption is 10% + 84% * Payout Ratio in last year - 38% * consensus long-term earnings growth rate.</t>
  </si>
  <si>
    <t>mdl77_2gdna_ollev</t>
  </si>
  <si>
    <t>Operating Liability Leverage: It is defined as 1 minus the ratio of (short-term debt + long-term debt + common equity + preferred equity - cash) to (total assets - cash) in the current quarter.</t>
  </si>
  <si>
    <t>mdl77_2relativevaluemodel_pfcmtt</t>
  </si>
  <si>
    <t>TTM Free Cash Flow-to-Price: It is defined as the trailing 12-month free cash flow per share for a stock divided by its month-end trading price. Free cash flow equals operating cash flow minus capital expenditures and cash dividends.</t>
  </si>
  <si>
    <t>mdl77_valueanalystmodelqva_valuation</t>
  </si>
  <si>
    <t>mdl177_2_historicalgrowthfactor_pctchgqtrsales</t>
  </si>
  <si>
    <t>Growth in most recent quarterly sales per share compared to 4 quarters ago</t>
  </si>
  <si>
    <t>mdl177_2_historicalgrowthfactor_chg3yocfp</t>
  </si>
  <si>
    <t>Change in trailing twelve-month operating cash flow per share from 12 quarters ago, divided by trading price</t>
  </si>
  <si>
    <t>mdl177_earningmomentumfactor_egp_alt</t>
  </si>
  <si>
    <t>Inverse PEG ratio; EPS-to-price divided by growth rate</t>
  </si>
  <si>
    <t>mdl177_2_liquidityriskfactor_netcashp</t>
  </si>
  <si>
    <t>Net cash to equity; (quarterly cash &amp; equivalents minus long-term and current debt) divided by current market value</t>
  </si>
  <si>
    <t>mdl177_2_managementqualityfactor_fcfsale</t>
  </si>
  <si>
    <t>Free cash flow to sales ratio over the trailing 12 months</t>
  </si>
  <si>
    <t>mdl177_industryrelativevaluefactor_curindcfp_alt</t>
  </si>
  <si>
    <t>A stock's trailing 12-month cash flow-to-price ratio minus the industry average, adjusted by dividing with the industry standard deviation (industry-relative TTM cash flow-to-price ratio standardized by industry)</t>
  </si>
  <si>
    <t>mdl177_valuemomentummodel_earningsqualitymodule</t>
  </si>
  <si>
    <t>Module assessing the quality or sustainability of reported earnings, examining accruals, cash flow alignment, and persistence of profits</t>
  </si>
  <si>
    <t>mdl77_oearningmomentumfactor_pge</t>
  </si>
  <si>
    <t>Estimates on the next 1-year average earnings scaled by company's prospects on growth and its stock price.</t>
  </si>
  <si>
    <t>mdl77_earningsmomentummodel_fc_y2repsg</t>
  </si>
  <si>
    <t>2-Year Projected EPS Growth: It is defined as a stock's most recent consensus analysts' earnings forecast for fiscal year 2 minus the most recent reported fiscal year actual earnings tracked by and then deflated by its month-end trading price.</t>
  </si>
  <si>
    <t>mdl77_fa_pge_cf</t>
  </si>
  <si>
    <t>mdl77_pricemomentumfactor_pctabv260low</t>
  </si>
  <si>
    <t>Price Above Last 260-Day Lowest Trading Price: It is defined as a stock's current closing price divided by its lowest daily low price in the last 260 trading days.</t>
  </si>
  <si>
    <t>mdl77_2historicalgrowthfactor_pctchgqtrsales</t>
  </si>
  <si>
    <t>1-yr Change in Sales: It is defined as the growth in most recent reported quarterly sales per share as compared to 4 quarters ago.</t>
  </si>
  <si>
    <t>mdl77_2liquidityriskfactor_netcashp</t>
  </si>
  <si>
    <t>Net Cash to Equity: It is defined as most recently reported quarterly cash &amp; equivalents less the long-term debt and current debt for a stock divided by its current market value.</t>
  </si>
  <si>
    <t>mdl77_2momemtumanalystmodel_qma_indrelrtn3m</t>
  </si>
  <si>
    <t>The difference of a company's 3-month profit compared to its respective industry classification.</t>
  </si>
  <si>
    <t>mdl77_shortsentimentfactor_lend_supply</t>
  </si>
  <si>
    <t>Lend supply</t>
  </si>
  <si>
    <t>mdl177_historicalgrowthfactor_totalsaleg_alt</t>
  </si>
  <si>
    <t>Percent change in trailing 12-month total sales compared to the value one year ago</t>
  </si>
  <si>
    <t>mdl177_put_put_momod</t>
  </si>
  <si>
    <t>Momentum Module</t>
  </si>
  <si>
    <t>mdl177_put_put_indepsp</t>
  </si>
  <si>
    <t>Industry-relative core earnings per share to price ratio, comparing normalized/core EPS-to-price relative to peers in the same industry</t>
  </si>
  <si>
    <t>mdl177_2_industryrelativevaluefactor_curindcfp_</t>
  </si>
  <si>
    <t>Industry Relative TTM Cash Flow-to-Price: Stock's trailing 12-month cash flow-to-price ratio minus industry average, scaled by industry standard deviation</t>
  </si>
  <si>
    <t>mdl177_2_industryrelativevaluefactor_curindoctp_</t>
  </si>
  <si>
    <t>Industry Relative TTM Operating Cash Flow-to-Price: Stock's trailing 12-month operating cash flow-to-price ratio minus industry average, scaled by industry standard deviation</t>
  </si>
  <si>
    <t>mdl77_2historicalgrowthfactor_pfcoy3ghc</t>
  </si>
  <si>
    <t>The difference between the trailing 12-month operating cash flow per share and that of 12 quarters ago for a stock divided by its trading price.</t>
  </si>
  <si>
    <t>mdl77_2industryrelativevaluefactor_curindocfp_</t>
  </si>
  <si>
    <t>Industry Relative TTM Oper Cash Flow-to-Price: It is defined as a stock's trailing 12-month operating cash flow-to-price ratio (OCFP) less the average of the OCFPs of all stocks in the same industry deflated by the standard deviation of the OCFPs of all stocks in the same relative...</t>
  </si>
  <si>
    <t>mdl177_fangma_gpam_usa_fangma_gpam5</t>
  </si>
  <si>
    <t>A metric assessing medium-term growth or profitability trends for a group of major technology firms.</t>
  </si>
  <si>
    <t>mdl177_2_momemtumanalystmodel_qma_rskadj</t>
  </si>
  <si>
    <t>Rank aggregating risk adjustments, incorporating volatility and growth, penalizing excessive volatility or return deviations</t>
  </si>
  <si>
    <t>mdl177_2_pricemomentumfactor_pctabv260low</t>
  </si>
  <si>
    <t>Ratio of the current closing price to the lowest daily price in the last 260 trading days, measuring how far price has risen above long-term low</t>
  </si>
  <si>
    <t>mdl177_deepvaluefactor_ttmsaleev_alt</t>
  </si>
  <si>
    <t>TTM Sales-to-Enterprise Value: trailing 12-month sales divided by enterprise value</t>
  </si>
  <si>
    <t>mdl177_2_managementqualityfactor_pinoa</t>
  </si>
  <si>
    <t>Pretax return on net operating assets: trailing 12-month operating income after depreciation divided by average net operating assets</t>
  </si>
  <si>
    <t>mdl177_liquidityriskfactor_impduration_alt</t>
  </si>
  <si>
    <t>Implied Equity Duration</t>
  </si>
  <si>
    <t>mdl177_liquidityriskfactor_yoychgcr_alt</t>
  </si>
  <si>
    <t>Year-over-year change in current ratio; difference in current ratio (current assets/current liabilities) compared to same quarter last year</t>
  </si>
  <si>
    <t>mdl177_vra_earningsqualitymodule</t>
  </si>
  <si>
    <t>A model-based, composite signal evaluating all aspects of a stock's earnings quality, integrating various indicators into a single measure reflecting reliability and persistence of earnings</t>
  </si>
  <si>
    <t>mdl77_liquidityriskfactor_impduration</t>
  </si>
  <si>
    <t>Implied Equity Duration: It is an equity risk measure based on Macaulay's traditional measure of bond duration. It combines book value, expected growth, expected profitability, and current stock trading price.</t>
  </si>
  <si>
    <t>mdl77_liquidityriskfactor_yoychgcr</t>
  </si>
  <si>
    <t>Year-over-year Change in Current Ratio: It is defined as the most recent reported quarterly current ratio and the current ratio for the same quarter one year ago. Current ratio equals current assets divided by current liabilities.</t>
  </si>
  <si>
    <t>mdl77_put_put_indepsp</t>
  </si>
  <si>
    <t>Industry Relative Core EPS to Price: It is defined as a stock's trailing 12-month earnings per share before extra items-to-price ratio (EP) less the average of the EPs of all stocks in the same industry deflated by the standard deviation of these EPs.</t>
  </si>
  <si>
    <t>mdl77_2industryrelativevaluefactor_curindcfp_</t>
  </si>
  <si>
    <t>Industry Relative TTM Cash Flow-to-Price: It is defined as a stock's trailing 12-month cash flow-to-price ratio (CFP) less the average of the CFPs of all stocks in the same industry deflated by the standard deviation of the CFPs of all stocks in the same relative universe</t>
  </si>
  <si>
    <t>mdl77_2mqf_pinoa</t>
  </si>
  <si>
    <t>Pretax Return on Net Operating Assets: It is defined as the trailing 12-month operating income after depreciation divided by the average net operating assets.</t>
  </si>
  <si>
    <t>mdl177_earningmomentumfactor_rev6</t>
  </si>
  <si>
    <t>Averaged Last 6-M EPS Revisions for FY1</t>
  </si>
  <si>
    <t>mdl177_2_earningmomentumfactor400_lagegp</t>
  </si>
  <si>
    <t>Lagged Inverse of PEG Ratio : It is defined as the trailing 12-month earnings per share before extraordinary items times the change in yearly trailing 12-month sales per share growth rate, divided by trading price.</t>
  </si>
  <si>
    <t>mdl177_2_liquidityriskfactor_aqi</t>
  </si>
  <si>
    <t>Asset Quality Index; year-over-year change of 1 minus the ratio of (current assets + property, plant &amp; equipment) divided by total assets</t>
  </si>
  <si>
    <t>mdl177_deepvaluefactor_divyield_alt</t>
  </si>
  <si>
    <t>TTM Dividend Yield: trailing 12-month dividends per share divided by trading price</t>
  </si>
  <si>
    <t>mdl177_historicalgrowthfactor_pctchgastto</t>
  </si>
  <si>
    <t>Percent change in asset turnover ratio compared to 4 quarters ago (1-year change in asset efficiency)</t>
  </si>
  <si>
    <t>fscore_quality</t>
  </si>
  <si>
    <t>Composite measuring the sustainability and certainty of earnings</t>
  </si>
  <si>
    <t>Model - Fundamental Scores</t>
  </si>
  <si>
    <t>fscore_momentum</t>
  </si>
  <si>
    <t>Composite momentum metric focused on recent analyst estimate revisions to identify stocks experiencing upward or downward revisions</t>
  </si>
  <si>
    <t>fscore_surface</t>
  </si>
  <si>
    <t>Static overall "style surface" score combining Value, Growth, Profitability, Momentum, and Quality; larger surface implies higher rank</t>
  </si>
  <si>
    <t>fscore_value</t>
  </si>
  <si>
    <t>Composite assessing whether the stock is under- or overpriced using standard valuation measures (e.g., multiples)</t>
  </si>
  <si>
    <t>analyst_revision_rank_derivative</t>
  </si>
  <si>
    <t>Daily-indicator variant of momentum capturing recent price moves and analyst estimate revisions</t>
  </si>
  <si>
    <t>fscore_profitability</t>
  </si>
  <si>
    <t>Composite ranking stocks by their ability to generate cash flows and operational profitability</t>
  </si>
  <si>
    <t>fscore_total</t>
  </si>
  <si>
    <t>Final blended score that combines the static pentagon surface score with its acceleration</t>
  </si>
  <si>
    <t>fscore_growth</t>
  </si>
  <si>
    <t>Composite measuring the stock's expected medium-term growth potential</t>
  </si>
  <si>
    <t>fscore_surface_accel</t>
  </si>
  <si>
    <t>Acceleration (derivative) of the pentagon surface score, indicating whether the overall style surface is rising or falling versus the previous month</t>
  </si>
  <si>
    <t>cashflow_efficiency_rank_derivative</t>
  </si>
  <si>
    <t>Ranks stocks by their ability to generate cash flows and operational profitability</t>
  </si>
  <si>
    <t>earnings_certainty_rank_derivative</t>
  </si>
  <si>
    <t>Measures the sustainability and certainty of earnings quality</t>
  </si>
  <si>
    <t>composite_factor_score_derivative</t>
  </si>
  <si>
    <t>Momentum score based on analyst revisions; intraday variant</t>
  </si>
  <si>
    <t>growth_potential_rank_derivative</t>
  </si>
  <si>
    <t>Composite growth score qualifying the stock's expected medium-term growth potential</t>
  </si>
  <si>
    <t>multi_factor_acceleration_score_derivative</t>
  </si>
  <si>
    <t>relative_valuation_rank_derivative</t>
  </si>
  <si>
    <t>Assesses whether the stock is under or overpriced based on standard valuation multiples indicator variant</t>
  </si>
  <si>
    <t>multi_factor_static_score_derivative</t>
  </si>
  <si>
    <t>Change in static multi-factor score compared to previous period.</t>
  </si>
  <si>
    <t>fscore_bfl_surface_accel</t>
  </si>
  <si>
    <t>Acceleration (derivative) of the pentagon surface score relative to the previous month</t>
  </si>
  <si>
    <t>fscore_bfl_value</t>
  </si>
  <si>
    <t>Valuation composite indicating how under- or overpriced a stock is versus common valuation measures; higher is better (cheaper) (0-100)</t>
  </si>
  <si>
    <t>fscore_bfl_quality</t>
  </si>
  <si>
    <t>Composite measuring earnings quality, stability, and balance-sheet resilience</t>
  </si>
  <si>
    <t>fscore_bfl_momentum</t>
  </si>
  <si>
    <t>Composite momentum measure reflecting recent price dynamics and analyst estimate revisions to identify improving or deteriorating names</t>
  </si>
  <si>
    <t>fscore_bfl_growth</t>
  </si>
  <si>
    <t>Growth composite estimating expected medium-term growth potential (e.g., revenues, earnings); higher is better (0-100)</t>
  </si>
  <si>
    <t>fscore_bfl_surface</t>
  </si>
  <si>
    <t>Static composite "style surface" score aggregating the five primary style scores; larger surface implies higher rank</t>
  </si>
  <si>
    <t>fscore_bfl_profitability</t>
  </si>
  <si>
    <t>Profitability composite ranking firms by ability to generate cash flows and operational efficiency; higher is better (0-100)</t>
  </si>
  <si>
    <t>fscore_bfl_total</t>
  </si>
  <si>
    <t>Blended composite M-Score combining the static pentagon surface score and its acceleration into an overarching rating</t>
  </si>
  <si>
    <t>unsystematic_risk_last_360_days</t>
  </si>
  <si>
    <t>The portion of return variance not explained by SPY (idiosyncratic risk), calculated as 1 minus R² over the last 360 calendar days</t>
  </si>
  <si>
    <t>Model - Systematic Risk</t>
  </si>
  <si>
    <t>unsystematic_risk_last_90_days</t>
  </si>
  <si>
    <t>The portion of return variance not explained by SPY (idiosyncratic risk), calculated as 1 minus R² over the last 90 calendar days</t>
  </si>
  <si>
    <t>systematic_risk_last_90_days</t>
  </si>
  <si>
    <t>The portion of the security's return variance attributed to systematic (market) risk, quantified as R² from a regression on SPY, over the last 90 calendar days</t>
  </si>
  <si>
    <t>unsystematic_risk_last_60_days</t>
  </si>
  <si>
    <t>The portion of return variance not explained by SPY (idiosyncratic risk), calculated as 1 minus R² over the last 60 calendar days</t>
  </si>
  <si>
    <t>beta_last_60_days_spy</t>
  </si>
  <si>
    <t>The rolling beta value of the security relative to SPY, calculated via regression over the last 60 calendar days, representing market sensitivity</t>
  </si>
  <si>
    <t>correlation_last_60_days_spy</t>
  </si>
  <si>
    <t>The Pearson correlation coefficient of daily log returns between the security and SPY, calculated over the most recent 60 calendar days</t>
  </si>
  <si>
    <t>beta_last_30_days_spy</t>
  </si>
  <si>
    <t>The rolling beta value of the security relative to SPY, calculated via regression over the last 30 calendar days, representing market sensitivity</t>
  </si>
  <si>
    <t>beta_last_90_days_spy</t>
  </si>
  <si>
    <t>The rolling beta value of the security relative to SPY, calculated via regression over the last 90 calendar days, representing market sensitivity</t>
  </si>
  <si>
    <t>beta_last_360_days_spy</t>
  </si>
  <si>
    <t>The rolling beta value of the security relative to SPY, calculated via regression over the last 360 calendar days, representing market sensitivity</t>
  </si>
  <si>
    <t>correlation_last_360_days_spy</t>
  </si>
  <si>
    <t>The Pearson correlation coefficient of daily log returns between the security and SPY, calculated over the most recent 360 calendar days</t>
  </si>
  <si>
    <t>unsystematic_risk_last_30_days</t>
  </si>
  <si>
    <t>The portion of return variance not explained by SPY (idiosyncratic risk), calculated as 1 minus R² over the last 30 calendar days</t>
  </si>
  <si>
    <t>systematic_risk_last_360_days</t>
  </si>
  <si>
    <t>The portion of the security's return variance attributed to systematic (market) risk, quantified as R² from a regression on SPY, over the last 360 calendar days</t>
  </si>
  <si>
    <t>systematic_risk_last_60_days</t>
  </si>
  <si>
    <t>The portion of the security's return variance attributed to systematic (market) risk, quantified as R² from a regression on SPY, over the last 60 calendar days</t>
  </si>
  <si>
    <t>correlation_last_30_days_spy</t>
  </si>
  <si>
    <t>The Pearson correlation coefficient of daily log returns between the security and SPY, calculated over the most recent 30 calendar days</t>
  </si>
  <si>
    <t>correlation_last_90_days_spy</t>
  </si>
  <si>
    <t>The Pearson correlation coefficient of daily log returns between the security and SPY, calculated over the most recent 90 calendar days</t>
  </si>
  <si>
    <t>systematic_risk_last_30_days</t>
  </si>
  <si>
    <t>The portion of the security's return variance attributed to systematic (market) risk, quantified as R² from a regression on SPY, over the last 30 calendar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</si>
</sst>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1"/>
      <color theme="1"/>
      <name val="Calibri"/>
      <charset val="1"/>
    </font>
    <font>
      <b/>
      <sz val="10"/>
      <color rgb="FFFFFFFF"/>
      <name val="Arial"/>
      <family val="2"/>
      <charset val="1"/>
    </font>
    <font>
      <sz val="10"/>
      <color rgb="FF1A1A2E"/>
      <name val="Arial"/>
      <family val="2"/>
      <charset val="1"/>
    </font>
    <font>
      <sz val="10"/>
      <color rgb="FFB91C1C"/>
      <name val="Arial"/>
      <family val="2"/>
      <charset val="1"/>
    </font>
    <font>
      <b/>
      <sz val="10"/>
      <color rgb="FF1E7E34"/>
      <name val="Arial"/>
      <family val="2"/>
      <charset val="1"/>
    </font>
    <font>
      <sz val="10"/>
      <name val="Arial"/>
      <family val="2"/>
    </font>
    <font>
      <b/>
      <sz val="14"/>
      <color rgb="FFFFFFFF"/>
      <name val="Arial"/>
      <family val="2"/>
      <charset val="1"/>
    </font>
    <font>
      <b/>
      <sz val="10"/>
      <color rgb="FF1A1A2E"/>
      <name val="Arial"/>
      <family val="2"/>
      <charset val="1"/>
    </font>
    <font>
      <b/>
      <sz val="9"/>
      <color rgb="FF6B7280"/>
      <name val="Arial"/>
      <family val="2"/>
      <charset val="1"/>
    </font>
    <font>
      <b/>
      <sz val="10"/>
      <color rgb="FF2E6BE6"/>
      <name val="Arial"/>
      <family val="2"/>
      <charset val="1"/>
    </font>
    <font>
      <b/>
      <sz val="10"/>
      <color rgb="FF92660A"/>
      <name val="Arial"/>
      <family val="2"/>
      <charset val="1"/>
    </font>
    <font>
      <sz val="9"/>
      <color rgb="FF1A1A2E"/>
      <name val="Arial"/>
      <family val="2"/>
      <charset val="1"/>
    </font>
    <font>
      <sz val="10"/>
      <name val="Arial"/>
      <family val="2"/>
    </font>
    <font>
      <b/>
      <sz val="11"/>
      <name val="Calibri"/>
      <family val="2"/>
    </font>
  </fonts>
  <fills count="9">
    <fill>
      <patternFill patternType="none"/>
    </fill>
    <fill>
      <patternFill patternType="gray125"/>
    </fill>
    <fill>
      <patternFill patternType="solid">
        <fgColor rgb="FF1B2A4A"/>
        <bgColor rgb="FF1A1A2E"/>
      </patternFill>
    </fill>
    <fill>
      <patternFill patternType="solid">
        <fgColor rgb="FFFFFFFF"/>
        <bgColor rgb="FFF5F6FA"/>
      </patternFill>
    </fill>
    <fill>
      <patternFill patternType="solid">
        <fgColor rgb="FFFDE8E8"/>
        <bgColor rgb="FFF5F6FA"/>
      </patternFill>
    </fill>
    <fill>
      <patternFill patternType="solid">
        <fgColor rgb="FFF5F6FA"/>
        <bgColor rgb="FFFEF9E7"/>
      </patternFill>
    </fill>
    <fill>
      <patternFill patternType="solid">
        <fgColor rgb="FFE6F4EA"/>
        <bgColor rgb="FFF5F6FA"/>
      </patternFill>
    </fill>
    <fill>
      <patternFill patternType="solid">
        <fgColor rgb="FFE2E5ED"/>
        <bgColor rgb="FFE6F4EA"/>
      </patternFill>
    </fill>
    <fill>
      <patternFill patternType="solid">
        <fgColor rgb="FFFEF9E7"/>
        <bgColor rgb="FFF5F6FA"/>
      </patternFill>
    </fill>
  </fills>
  <borders count="2">
    <border>
      <left/>
      <right/>
      <top/>
      <bottom/>
      <diagonal/>
    </border>
    <border>
      <left/>
      <right/>
      <top/>
      <bottom style="thin">
        <color rgb="FFD1D5DB"/>
      </bottom>
      <diagonal/>
    </border>
  </borders>
  <cellStyleXfs count="1">
    <xf numFmtId="0" fontId="0" fillId="0" borderId="0"/>
  </cellStyleXfs>
  <cellXfs count="42">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2" fontId="2" fillId="3"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2" fontId="2" fillId="5" borderId="1"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5" fillId="0" borderId="0" xfId="0" applyFont="1" applyAlignment="1">
      <alignment vertical="center"/>
    </xf>
    <xf numFmtId="0" fontId="0" fillId="3" borderId="0" xfId="0" applyFill="1"/>
    <xf numFmtId="0" fontId="1" fillId="2" borderId="0" xfId="0" applyFont="1" applyFill="1" applyAlignment="1">
      <alignment horizontal="left" vertical="center"/>
    </xf>
    <xf numFmtId="0" fontId="7" fillId="5" borderId="0" xfId="0" applyFont="1" applyFill="1" applyAlignment="1">
      <alignment horizontal="left" vertical="center"/>
    </xf>
    <xf numFmtId="0" fontId="2" fillId="5" borderId="0" xfId="0" applyFont="1" applyFill="1" applyAlignment="1">
      <alignment horizontal="left" vertical="center" wrapText="1"/>
    </xf>
    <xf numFmtId="0" fontId="2" fillId="5" borderId="0" xfId="0" applyFont="1" applyFill="1" applyAlignment="1">
      <alignment horizontal="left" vertical="center"/>
    </xf>
    <xf numFmtId="0" fontId="7" fillId="3" borderId="0" xfId="0" applyFont="1" applyFill="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8" fillId="7" borderId="0" xfId="0" applyFont="1" applyFill="1" applyAlignment="1">
      <alignment horizontal="center" vertical="center"/>
    </xf>
    <xf numFmtId="0" fontId="2" fillId="6" borderId="1" xfId="0" applyFont="1" applyFill="1" applyBorder="1" applyAlignment="1">
      <alignment horizontal="left" vertical="center"/>
    </xf>
    <xf numFmtId="0" fontId="9"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5" borderId="0" xfId="0" applyFill="1"/>
    <xf numFmtId="0" fontId="10" fillId="8" borderId="1" xfId="0" applyFont="1" applyFill="1" applyBorder="1" applyAlignment="1">
      <alignment horizontal="left" vertical="center"/>
    </xf>
    <xf numFmtId="0" fontId="7" fillId="8" borderId="1" xfId="0" applyFont="1" applyFill="1" applyBorder="1" applyAlignment="1">
      <alignment horizontal="left" vertical="center"/>
    </xf>
    <xf numFmtId="0" fontId="11" fillId="8" borderId="1" xfId="0" applyFont="1" applyFill="1" applyBorder="1" applyAlignment="1">
      <alignment horizontal="left" vertical="center"/>
    </xf>
    <xf numFmtId="0" fontId="7" fillId="5" borderId="1" xfId="0" applyFont="1" applyFill="1" applyBorder="1" applyAlignment="1">
      <alignment horizontal="left" vertical="center"/>
    </xf>
    <xf numFmtId="0" fontId="11" fillId="5" borderId="1" xfId="0" applyFont="1" applyFill="1" applyBorder="1" applyAlignment="1">
      <alignment horizontal="left" vertical="center"/>
    </xf>
    <xf numFmtId="0" fontId="7" fillId="3" borderId="1" xfId="0" applyFont="1" applyFill="1" applyBorder="1" applyAlignment="1">
      <alignment horizontal="left" vertical="center"/>
    </xf>
    <xf numFmtId="0" fontId="11" fillId="3" borderId="1" xfId="0" applyFont="1" applyFill="1" applyBorder="1" applyAlignment="1">
      <alignment horizontal="left" vertical="center"/>
    </xf>
    <xf numFmtId="0" fontId="12" fillId="0" borderId="0" xfId="0" applyFont="1" applyAlignment="1">
      <alignment vertical="center"/>
    </xf>
    <xf numFmtId="0" fontId="13" fillId="0" borderId="0" xfId="0" applyFont="1"/>
    <xf numFmtId="0" fontId="0" fillId="0" borderId="0" xfId="0"/>
    <xf numFmtId="0" fontId="6" fillId="2" borderId="0" xfId="0" applyFont="1" applyFill="1" applyAlignment="1">
      <alignment horizontal="left" vertical="center"/>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E7E34"/>
      <rgbColor rgb="FF000080"/>
      <rgbColor rgb="FF92660A"/>
      <rgbColor rgb="FF800080"/>
      <rgbColor rgb="FF008080"/>
      <rgbColor rgb="FFC0C0C0"/>
      <rgbColor rgb="FF808080"/>
      <rgbColor rgb="FF9999FF"/>
      <rgbColor rgb="FF993366"/>
      <rgbColor rgb="FFFEF9E7"/>
      <rgbColor rgb="FFE6F4EA"/>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5F6FA"/>
      <rgbColor rgb="FFE2E5ED"/>
      <rgbColor rgb="FFFDE8E8"/>
      <rgbColor rgb="FF99CCFF"/>
      <rgbColor rgb="FFFF99CC"/>
      <rgbColor rgb="FFCC99FF"/>
      <rgbColor rgb="FFFFCC99"/>
      <rgbColor rgb="FF2E6BE6"/>
      <rgbColor rgb="FF33CCCC"/>
      <rgbColor rgb="FF99CC00"/>
      <rgbColor rgb="FFFFCC00"/>
      <rgbColor rgb="FFFF9900"/>
      <rgbColor rgb="FFFF6600"/>
      <rgbColor rgb="FF6B7280"/>
      <rgbColor rgb="FF969696"/>
      <rgbColor rgb="FF003366"/>
      <rgbColor rgb="FF339966"/>
      <rgbColor rgb="FF003300"/>
      <rgbColor rgb="FF1A1A2E"/>
      <rgbColor rgb="FFB91C1C"/>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11"/>
  <sheetViews>
    <sheetView topLeftCell="B1" zoomScaleNormal="100" workbookViewId="0">
      <pane ySplit="1" topLeftCell="A19" activePane="bottomLeft" state="frozen"/>
      <selection activeCell="B1" sqref="B1"/>
      <selection pane="bottomLeft"/>
    </sheetView>
  </sheetViews>
  <sheetFormatPr baseColWidth="10" defaultColWidth="8.6640625" defaultRowHeight="15" x14ac:dyDescent="0.2"/>
  <cols>
    <col min="1" max="1" width="10" customWidth="1"/>
    <col min="2" max="2" width="30" customWidth="1"/>
    <col min="3" max="3" width="9" customWidth="1"/>
    <col min="4" max="5" width="8" customWidth="1"/>
    <col min="6" max="6" width="7" customWidth="1"/>
    <col min="7" max="7" width="9" customWidth="1"/>
    <col min="8" max="8" width="16" customWidth="1"/>
    <col min="9" max="9" width="28" customWidth="1"/>
    <col min="10" max="10" width="14" customWidth="1"/>
    <col min="11" max="11" width="40" customWidth="1"/>
    <col min="12" max="12" width="70" customWidth="1"/>
  </cols>
  <sheetData>
    <row r="1" spans="1:12" ht="19.5" customHeight="1" x14ac:dyDescent="0.2">
      <c r="A1" s="1" t="s">
        <v>131</v>
      </c>
      <c r="B1" s="1" t="s">
        <v>132</v>
      </c>
      <c r="C1" s="1" t="s">
        <v>133</v>
      </c>
      <c r="D1" s="1" t="s">
        <v>134</v>
      </c>
      <c r="E1" s="1" t="s">
        <v>135</v>
      </c>
      <c r="F1" s="1" t="s">
        <v>136</v>
      </c>
      <c r="G1" s="1" t="s">
        <v>137</v>
      </c>
      <c r="H1" s="1" t="s">
        <v>138</v>
      </c>
      <c r="I1" s="1" t="s">
        <v>139</v>
      </c>
      <c r="J1" s="1" t="s">
        <v>140</v>
      </c>
      <c r="K1" s="1" t="s">
        <v>141</v>
      </c>
      <c r="L1" s="1" t="s">
        <v>142</v>
      </c>
    </row>
    <row r="2" spans="1:12" ht="15" customHeight="1" x14ac:dyDescent="0.2">
      <c r="A2" s="2" t="s">
        <v>143</v>
      </c>
      <c r="B2" s="3" t="s">
        <v>144</v>
      </c>
      <c r="C2" s="2" t="s">
        <v>145</v>
      </c>
      <c r="D2" s="4">
        <v>1.45</v>
      </c>
      <c r="E2" s="4">
        <v>0.78</v>
      </c>
      <c r="F2" s="5">
        <v>40</v>
      </c>
      <c r="G2" s="6">
        <f t="shared" ref="G2:G39" si="0">IFERROR(MAX(Y2:AA2),"")</f>
        <v>0</v>
      </c>
      <c r="H2" s="7" t="s">
        <v>7</v>
      </c>
      <c r="I2" s="3" t="s">
        <v>146</v>
      </c>
      <c r="J2" s="3"/>
      <c r="K2" s="3" t="s">
        <v>147</v>
      </c>
      <c r="L2" s="3" t="s">
        <v>148</v>
      </c>
    </row>
    <row r="3" spans="1:12" ht="15" customHeight="1" x14ac:dyDescent="0.2">
      <c r="A3" s="8" t="s">
        <v>149</v>
      </c>
      <c r="B3" s="9" t="s">
        <v>150</v>
      </c>
      <c r="C3" s="8" t="s">
        <v>145</v>
      </c>
      <c r="D3" s="10">
        <v>1.45</v>
      </c>
      <c r="E3" s="10">
        <v>0.78</v>
      </c>
      <c r="F3" s="11">
        <v>40</v>
      </c>
      <c r="G3" s="12">
        <f t="shared" si="0"/>
        <v>0</v>
      </c>
      <c r="H3" s="7" t="s">
        <v>7</v>
      </c>
      <c r="I3" s="9" t="s">
        <v>146</v>
      </c>
      <c r="J3" s="9"/>
      <c r="K3" s="9" t="s">
        <v>151</v>
      </c>
      <c r="L3" s="9" t="s">
        <v>152</v>
      </c>
    </row>
    <row r="4" spans="1:12" ht="15" customHeight="1" x14ac:dyDescent="0.2">
      <c r="A4" s="2" t="s">
        <v>153</v>
      </c>
      <c r="B4" s="3" t="s">
        <v>154</v>
      </c>
      <c r="C4" s="2" t="s">
        <v>145</v>
      </c>
      <c r="D4" s="4">
        <v>1.02</v>
      </c>
      <c r="E4" s="4">
        <v>0.42</v>
      </c>
      <c r="F4" s="5">
        <v>42</v>
      </c>
      <c r="G4" s="6">
        <f t="shared" si="0"/>
        <v>0</v>
      </c>
      <c r="H4" s="7" t="s">
        <v>7</v>
      </c>
      <c r="I4" s="3" t="s">
        <v>155</v>
      </c>
      <c r="J4" s="3"/>
      <c r="K4" s="3" t="s">
        <v>156</v>
      </c>
      <c r="L4" s="3" t="s">
        <v>157</v>
      </c>
    </row>
    <row r="5" spans="1:12" ht="15" customHeight="1" x14ac:dyDescent="0.2">
      <c r="A5" s="8" t="s">
        <v>158</v>
      </c>
      <c r="B5" s="9" t="s">
        <v>159</v>
      </c>
      <c r="C5" s="8" t="s">
        <v>145</v>
      </c>
      <c r="D5" s="10">
        <v>1.71</v>
      </c>
      <c r="E5" s="10">
        <v>1.37</v>
      </c>
      <c r="F5" s="11">
        <v>23.93</v>
      </c>
      <c r="G5" s="12">
        <f t="shared" si="0"/>
        <v>0</v>
      </c>
      <c r="H5" s="13" t="s">
        <v>5</v>
      </c>
      <c r="I5" s="9"/>
      <c r="J5" s="9"/>
      <c r="K5" s="9" t="s">
        <v>160</v>
      </c>
      <c r="L5" s="9" t="s">
        <v>161</v>
      </c>
    </row>
    <row r="6" spans="1:12" ht="15" customHeight="1" x14ac:dyDescent="0.2">
      <c r="A6" s="2" t="s">
        <v>162</v>
      </c>
      <c r="B6" s="3" t="s">
        <v>163</v>
      </c>
      <c r="C6" s="2" t="s">
        <v>145</v>
      </c>
      <c r="D6" s="4">
        <v>1.07</v>
      </c>
      <c r="E6" s="4">
        <v>0.62</v>
      </c>
      <c r="F6" s="5">
        <v>22</v>
      </c>
      <c r="G6" s="6">
        <f t="shared" si="0"/>
        <v>0</v>
      </c>
      <c r="H6" s="7" t="s">
        <v>7</v>
      </c>
      <c r="I6" s="3" t="s">
        <v>164</v>
      </c>
      <c r="J6" s="3"/>
      <c r="K6" s="3" t="s">
        <v>165</v>
      </c>
      <c r="L6" s="3" t="s">
        <v>166</v>
      </c>
    </row>
    <row r="7" spans="1:12" ht="15" customHeight="1" x14ac:dyDescent="0.2">
      <c r="A7" s="8" t="s">
        <v>167</v>
      </c>
      <c r="B7" s="9" t="s">
        <v>168</v>
      </c>
      <c r="C7" s="8" t="s">
        <v>145</v>
      </c>
      <c r="D7" s="10">
        <v>-0.35</v>
      </c>
      <c r="E7" s="9"/>
      <c r="F7" s="11">
        <v>5.74</v>
      </c>
      <c r="G7" s="12">
        <f t="shared" si="0"/>
        <v>0</v>
      </c>
      <c r="H7" s="7" t="s">
        <v>7</v>
      </c>
      <c r="I7" s="9" t="s">
        <v>169</v>
      </c>
      <c r="J7" s="9"/>
      <c r="K7" s="9" t="s">
        <v>170</v>
      </c>
      <c r="L7" s="9" t="s">
        <v>171</v>
      </c>
    </row>
    <row r="8" spans="1:12" ht="15" customHeight="1" x14ac:dyDescent="0.2">
      <c r="A8" s="2" t="s">
        <v>172</v>
      </c>
      <c r="B8" s="3" t="s">
        <v>173</v>
      </c>
      <c r="C8" s="2" t="s">
        <v>145</v>
      </c>
      <c r="D8" s="4">
        <v>1.19</v>
      </c>
      <c r="E8" s="4">
        <v>0.6</v>
      </c>
      <c r="F8" s="5">
        <v>10</v>
      </c>
      <c r="G8" s="6">
        <f t="shared" si="0"/>
        <v>0</v>
      </c>
      <c r="H8" s="7" t="s">
        <v>7</v>
      </c>
      <c r="I8" s="3" t="s">
        <v>164</v>
      </c>
      <c r="J8" s="3"/>
      <c r="K8" s="3" t="s">
        <v>174</v>
      </c>
      <c r="L8" s="3" t="s">
        <v>175</v>
      </c>
    </row>
    <row r="9" spans="1:12" ht="15" customHeight="1" x14ac:dyDescent="0.2">
      <c r="A9" s="8" t="s">
        <v>176</v>
      </c>
      <c r="B9" s="9" t="s">
        <v>177</v>
      </c>
      <c r="C9" s="8" t="s">
        <v>145</v>
      </c>
      <c r="D9" s="10">
        <v>0.6</v>
      </c>
      <c r="E9" s="10">
        <v>0.3</v>
      </c>
      <c r="F9" s="11">
        <v>40</v>
      </c>
      <c r="G9" s="12">
        <f t="shared" si="0"/>
        <v>0</v>
      </c>
      <c r="H9" s="7" t="s">
        <v>7</v>
      </c>
      <c r="I9" s="9" t="s">
        <v>169</v>
      </c>
      <c r="J9" s="9"/>
      <c r="K9" s="9" t="s">
        <v>178</v>
      </c>
      <c r="L9" s="9" t="s">
        <v>179</v>
      </c>
    </row>
    <row r="10" spans="1:12" ht="15" customHeight="1" x14ac:dyDescent="0.2">
      <c r="A10" s="2" t="s">
        <v>180</v>
      </c>
      <c r="B10" s="3" t="s">
        <v>181</v>
      </c>
      <c r="C10" s="2" t="s">
        <v>145</v>
      </c>
      <c r="D10" s="4">
        <v>2.0099999999999998</v>
      </c>
      <c r="E10" s="4">
        <v>1</v>
      </c>
      <c r="F10" s="5">
        <v>61.29</v>
      </c>
      <c r="G10" s="6">
        <f t="shared" si="0"/>
        <v>0</v>
      </c>
      <c r="H10" s="13" t="s">
        <v>5</v>
      </c>
      <c r="I10" s="3"/>
      <c r="J10" s="3"/>
      <c r="K10" s="3" t="s">
        <v>182</v>
      </c>
      <c r="L10" s="3" t="s">
        <v>183</v>
      </c>
    </row>
    <row r="11" spans="1:12" ht="15" customHeight="1" x14ac:dyDescent="0.2">
      <c r="A11" s="8" t="s">
        <v>184</v>
      </c>
      <c r="B11" s="9" t="s">
        <v>185</v>
      </c>
      <c r="C11" s="8" t="s">
        <v>145</v>
      </c>
      <c r="D11" s="10">
        <v>1.93</v>
      </c>
      <c r="E11" s="10">
        <v>1.31</v>
      </c>
      <c r="F11" s="11">
        <v>28.66</v>
      </c>
      <c r="G11" s="12">
        <f t="shared" si="0"/>
        <v>0</v>
      </c>
      <c r="H11" s="13" t="s">
        <v>5</v>
      </c>
      <c r="I11" s="9"/>
      <c r="J11" s="9"/>
      <c r="K11" s="9" t="s">
        <v>186</v>
      </c>
      <c r="L11" s="9" t="s">
        <v>187</v>
      </c>
    </row>
    <row r="12" spans="1:12" ht="15" customHeight="1" x14ac:dyDescent="0.2">
      <c r="A12" s="2" t="s">
        <v>188</v>
      </c>
      <c r="B12" s="3" t="s">
        <v>189</v>
      </c>
      <c r="C12" s="2" t="s">
        <v>145</v>
      </c>
      <c r="D12" s="4">
        <v>-0.12</v>
      </c>
      <c r="E12" s="3"/>
      <c r="F12" s="5">
        <v>7.24</v>
      </c>
      <c r="G12" s="6">
        <f t="shared" si="0"/>
        <v>0</v>
      </c>
      <c r="H12" s="7" t="s">
        <v>7</v>
      </c>
      <c r="I12" s="3" t="s">
        <v>164</v>
      </c>
      <c r="J12" s="3"/>
      <c r="K12" s="3" t="s">
        <v>190</v>
      </c>
      <c r="L12" s="3" t="s">
        <v>191</v>
      </c>
    </row>
    <row r="13" spans="1:12" ht="15" customHeight="1" x14ac:dyDescent="0.2">
      <c r="A13" s="8" t="s">
        <v>192</v>
      </c>
      <c r="B13" s="9" t="s">
        <v>193</v>
      </c>
      <c r="C13" s="8" t="s">
        <v>145</v>
      </c>
      <c r="D13" s="10">
        <v>-0.13</v>
      </c>
      <c r="E13" s="9"/>
      <c r="F13" s="11">
        <v>1.94</v>
      </c>
      <c r="G13" s="12">
        <f t="shared" si="0"/>
        <v>0</v>
      </c>
      <c r="H13" s="7" t="s">
        <v>7</v>
      </c>
      <c r="I13" s="9" t="s">
        <v>169</v>
      </c>
      <c r="J13" s="9"/>
      <c r="K13" s="9" t="s">
        <v>194</v>
      </c>
      <c r="L13" s="9" t="s">
        <v>195</v>
      </c>
    </row>
    <row r="14" spans="1:12" ht="15" customHeight="1" x14ac:dyDescent="0.2">
      <c r="A14" s="2" t="s">
        <v>196</v>
      </c>
      <c r="B14" s="3" t="s">
        <v>197</v>
      </c>
      <c r="C14" s="2" t="s">
        <v>145</v>
      </c>
      <c r="D14" s="4">
        <v>2.1</v>
      </c>
      <c r="E14" s="4">
        <v>0.96</v>
      </c>
      <c r="F14" s="5">
        <v>60</v>
      </c>
      <c r="G14" s="6">
        <f t="shared" si="0"/>
        <v>0</v>
      </c>
      <c r="H14" s="7" t="s">
        <v>7</v>
      </c>
      <c r="I14" s="3" t="s">
        <v>146</v>
      </c>
      <c r="J14" s="3"/>
      <c r="K14" s="3" t="s">
        <v>198</v>
      </c>
      <c r="L14" s="3" t="s">
        <v>199</v>
      </c>
    </row>
    <row r="15" spans="1:12" ht="15" customHeight="1" x14ac:dyDescent="0.2">
      <c r="A15" s="8" t="s">
        <v>200</v>
      </c>
      <c r="B15" s="9" t="s">
        <v>201</v>
      </c>
      <c r="C15" s="8" t="s">
        <v>145</v>
      </c>
      <c r="D15" s="10">
        <v>2.0299999999999998</v>
      </c>
      <c r="E15" s="10">
        <v>0.99</v>
      </c>
      <c r="F15" s="11">
        <v>60</v>
      </c>
      <c r="G15" s="12">
        <f t="shared" si="0"/>
        <v>0</v>
      </c>
      <c r="H15" s="7" t="s">
        <v>7</v>
      </c>
      <c r="I15" s="9" t="s">
        <v>146</v>
      </c>
      <c r="J15" s="9"/>
      <c r="K15" s="9" t="s">
        <v>202</v>
      </c>
      <c r="L15" s="9" t="s">
        <v>203</v>
      </c>
    </row>
    <row r="16" spans="1:12" ht="15" customHeight="1" x14ac:dyDescent="0.2">
      <c r="A16" s="2" t="s">
        <v>204</v>
      </c>
      <c r="B16" s="3" t="s">
        <v>205</v>
      </c>
      <c r="C16" s="2" t="s">
        <v>145</v>
      </c>
      <c r="D16" s="4">
        <v>2.08</v>
      </c>
      <c r="E16" s="4">
        <v>0.87</v>
      </c>
      <c r="F16" s="5">
        <v>85</v>
      </c>
      <c r="G16" s="6">
        <f t="shared" si="0"/>
        <v>0</v>
      </c>
      <c r="H16" s="7" t="s">
        <v>7</v>
      </c>
      <c r="I16" s="3" t="s">
        <v>206</v>
      </c>
      <c r="J16" s="3"/>
      <c r="K16" s="3" t="s">
        <v>207</v>
      </c>
      <c r="L16" s="3" t="s">
        <v>208</v>
      </c>
    </row>
    <row r="17" spans="1:12" ht="15" customHeight="1" x14ac:dyDescent="0.2">
      <c r="A17" s="8" t="s">
        <v>209</v>
      </c>
      <c r="B17" s="9" t="s">
        <v>210</v>
      </c>
      <c r="C17" s="8" t="s">
        <v>145</v>
      </c>
      <c r="D17" s="10">
        <v>1.81</v>
      </c>
      <c r="E17" s="10">
        <v>1.01</v>
      </c>
      <c r="F17" s="11">
        <v>48</v>
      </c>
      <c r="G17" s="12">
        <f t="shared" si="0"/>
        <v>0</v>
      </c>
      <c r="H17" s="7" t="s">
        <v>7</v>
      </c>
      <c r="I17" s="9" t="s">
        <v>211</v>
      </c>
      <c r="J17" s="9"/>
      <c r="K17" s="9" t="s">
        <v>212</v>
      </c>
      <c r="L17" s="9" t="s">
        <v>213</v>
      </c>
    </row>
    <row r="18" spans="1:12" ht="15" customHeight="1" x14ac:dyDescent="0.2">
      <c r="A18" s="2" t="s">
        <v>214</v>
      </c>
      <c r="B18" s="3" t="s">
        <v>215</v>
      </c>
      <c r="C18" s="2" t="s">
        <v>145</v>
      </c>
      <c r="D18" s="4">
        <v>2.1</v>
      </c>
      <c r="E18" s="4">
        <v>0.81</v>
      </c>
      <c r="F18" s="5">
        <v>63</v>
      </c>
      <c r="G18" s="6">
        <f t="shared" si="0"/>
        <v>0</v>
      </c>
      <c r="H18" s="7" t="s">
        <v>7</v>
      </c>
      <c r="I18" s="3" t="s">
        <v>146</v>
      </c>
      <c r="J18" s="3"/>
      <c r="K18" s="3" t="s">
        <v>216</v>
      </c>
      <c r="L18" s="3" t="s">
        <v>217</v>
      </c>
    </row>
    <row r="19" spans="1:12" ht="15" customHeight="1" x14ac:dyDescent="0.2">
      <c r="A19" s="8" t="s">
        <v>218</v>
      </c>
      <c r="B19" s="9" t="s">
        <v>219</v>
      </c>
      <c r="C19" s="8" t="s">
        <v>145</v>
      </c>
      <c r="D19" s="10">
        <v>1.32</v>
      </c>
      <c r="E19" s="10">
        <v>1.07</v>
      </c>
      <c r="F19" s="11">
        <v>24</v>
      </c>
      <c r="G19" s="12">
        <f t="shared" si="0"/>
        <v>0</v>
      </c>
      <c r="H19" s="7" t="s">
        <v>7</v>
      </c>
      <c r="I19" s="9" t="s">
        <v>211</v>
      </c>
      <c r="J19" s="9"/>
      <c r="K19" s="9" t="s">
        <v>220</v>
      </c>
      <c r="L19" s="9" t="s">
        <v>187</v>
      </c>
    </row>
    <row r="20" spans="1:12" ht="15" customHeight="1" x14ac:dyDescent="0.2">
      <c r="A20" s="2" t="s">
        <v>221</v>
      </c>
      <c r="B20" s="3" t="s">
        <v>222</v>
      </c>
      <c r="C20" s="2" t="s">
        <v>145</v>
      </c>
      <c r="D20" s="4">
        <v>1.5</v>
      </c>
      <c r="E20" s="4">
        <v>0.78</v>
      </c>
      <c r="F20" s="5">
        <v>37</v>
      </c>
      <c r="G20" s="6">
        <f t="shared" si="0"/>
        <v>0</v>
      </c>
      <c r="H20" s="7" t="s">
        <v>7</v>
      </c>
      <c r="I20" s="3" t="s">
        <v>146</v>
      </c>
      <c r="J20" s="3"/>
      <c r="K20" s="3" t="s">
        <v>223</v>
      </c>
      <c r="L20" s="3" t="s">
        <v>224</v>
      </c>
    </row>
    <row r="21" spans="1:12" ht="15" customHeight="1" x14ac:dyDescent="0.2">
      <c r="A21" s="8" t="s">
        <v>225</v>
      </c>
      <c r="B21" s="9" t="s">
        <v>226</v>
      </c>
      <c r="C21" s="8" t="s">
        <v>145</v>
      </c>
      <c r="D21" s="10">
        <v>1.41</v>
      </c>
      <c r="E21" s="10">
        <v>0.87</v>
      </c>
      <c r="F21" s="11">
        <v>50</v>
      </c>
      <c r="G21" s="12">
        <f t="shared" si="0"/>
        <v>0</v>
      </c>
      <c r="H21" s="7" t="s">
        <v>7</v>
      </c>
      <c r="I21" s="9" t="s">
        <v>164</v>
      </c>
      <c r="J21" s="9"/>
      <c r="K21" s="9" t="s">
        <v>227</v>
      </c>
      <c r="L21" s="9" t="s">
        <v>228</v>
      </c>
    </row>
    <row r="22" spans="1:12" ht="15" customHeight="1" x14ac:dyDescent="0.2">
      <c r="A22" s="2" t="s">
        <v>229</v>
      </c>
      <c r="B22" s="3" t="s">
        <v>230</v>
      </c>
      <c r="C22" s="2" t="s">
        <v>145</v>
      </c>
      <c r="D22" s="4">
        <v>1.94</v>
      </c>
      <c r="E22" s="4">
        <v>1.01</v>
      </c>
      <c r="F22" s="5">
        <v>35</v>
      </c>
      <c r="G22" s="6">
        <f t="shared" si="0"/>
        <v>0</v>
      </c>
      <c r="H22" s="7" t="s">
        <v>7</v>
      </c>
      <c r="I22" s="3" t="s">
        <v>211</v>
      </c>
      <c r="J22" s="3"/>
      <c r="K22" s="3" t="s">
        <v>231</v>
      </c>
      <c r="L22" s="3" t="s">
        <v>232</v>
      </c>
    </row>
    <row r="23" spans="1:12" ht="15" customHeight="1" x14ac:dyDescent="0.2">
      <c r="A23" s="8" t="s">
        <v>233</v>
      </c>
      <c r="B23" s="9" t="s">
        <v>234</v>
      </c>
      <c r="C23" s="8" t="s">
        <v>145</v>
      </c>
      <c r="D23" s="10">
        <v>1.59</v>
      </c>
      <c r="E23" s="10">
        <v>0.75</v>
      </c>
      <c r="F23" s="11">
        <v>34</v>
      </c>
      <c r="G23" s="12">
        <f t="shared" si="0"/>
        <v>0</v>
      </c>
      <c r="H23" s="7" t="s">
        <v>7</v>
      </c>
      <c r="I23" s="9" t="s">
        <v>146</v>
      </c>
      <c r="J23" s="9"/>
      <c r="K23" s="9" t="s">
        <v>235</v>
      </c>
      <c r="L23" s="9" t="s">
        <v>236</v>
      </c>
    </row>
    <row r="24" spans="1:12" ht="15" customHeight="1" x14ac:dyDescent="0.2">
      <c r="A24" s="2" t="s">
        <v>237</v>
      </c>
      <c r="B24" s="3" t="s">
        <v>238</v>
      </c>
      <c r="C24" s="2" t="s">
        <v>145</v>
      </c>
      <c r="D24" s="4">
        <v>1.96</v>
      </c>
      <c r="E24" s="4">
        <v>1.46</v>
      </c>
      <c r="F24" s="5">
        <v>22</v>
      </c>
      <c r="G24" s="6">
        <f t="shared" si="0"/>
        <v>0</v>
      </c>
      <c r="H24" s="7" t="s">
        <v>7</v>
      </c>
      <c r="I24" s="3" t="s">
        <v>211</v>
      </c>
      <c r="J24" s="3"/>
      <c r="K24" s="3" t="s">
        <v>239</v>
      </c>
      <c r="L24" s="3" t="s">
        <v>240</v>
      </c>
    </row>
    <row r="25" spans="1:12" ht="15" customHeight="1" x14ac:dyDescent="0.2">
      <c r="A25" s="8" t="s">
        <v>241</v>
      </c>
      <c r="B25" s="9" t="s">
        <v>242</v>
      </c>
      <c r="C25" s="8" t="s">
        <v>145</v>
      </c>
      <c r="D25" s="10">
        <v>-0.24</v>
      </c>
      <c r="E25" s="9"/>
      <c r="F25" s="11">
        <v>16</v>
      </c>
      <c r="G25" s="12">
        <f t="shared" si="0"/>
        <v>0</v>
      </c>
      <c r="H25" s="7" t="s">
        <v>7</v>
      </c>
      <c r="I25" s="9" t="s">
        <v>164</v>
      </c>
      <c r="J25" s="9"/>
      <c r="K25" s="9" t="s">
        <v>243</v>
      </c>
      <c r="L25" s="9" t="s">
        <v>244</v>
      </c>
    </row>
    <row r="26" spans="1:12" ht="15" customHeight="1" x14ac:dyDescent="0.2">
      <c r="A26" s="2" t="s">
        <v>245</v>
      </c>
      <c r="B26" s="3" t="s">
        <v>246</v>
      </c>
      <c r="C26" s="2" t="s">
        <v>145</v>
      </c>
      <c r="D26" s="4">
        <v>-1.22</v>
      </c>
      <c r="E26" s="3"/>
      <c r="F26" s="5">
        <v>2.64</v>
      </c>
      <c r="G26" s="6">
        <f t="shared" si="0"/>
        <v>0</v>
      </c>
      <c r="H26" s="7" t="s">
        <v>7</v>
      </c>
      <c r="I26" s="3" t="s">
        <v>164</v>
      </c>
      <c r="J26" s="3"/>
      <c r="K26" s="3" t="s">
        <v>247</v>
      </c>
      <c r="L26" s="3" t="s">
        <v>248</v>
      </c>
    </row>
    <row r="27" spans="1:12" ht="15" customHeight="1" x14ac:dyDescent="0.2">
      <c r="A27" s="8" t="s">
        <v>249</v>
      </c>
      <c r="B27" s="9" t="s">
        <v>250</v>
      </c>
      <c r="C27" s="8" t="s">
        <v>145</v>
      </c>
      <c r="D27" s="10">
        <v>1.4</v>
      </c>
      <c r="E27" s="10">
        <v>0.56000000000000005</v>
      </c>
      <c r="F27" s="11">
        <v>48.63</v>
      </c>
      <c r="G27" s="12">
        <f t="shared" si="0"/>
        <v>0</v>
      </c>
      <c r="H27" s="7" t="s">
        <v>7</v>
      </c>
      <c r="I27" s="9" t="s">
        <v>251</v>
      </c>
      <c r="J27" s="9"/>
      <c r="K27" s="9" t="s">
        <v>252</v>
      </c>
      <c r="L27" s="9" t="s">
        <v>253</v>
      </c>
    </row>
    <row r="28" spans="1:12" ht="15" customHeight="1" x14ac:dyDescent="0.2">
      <c r="A28" s="2" t="s">
        <v>254</v>
      </c>
      <c r="B28" s="3" t="s">
        <v>255</v>
      </c>
      <c r="C28" s="2" t="s">
        <v>145</v>
      </c>
      <c r="D28" s="3"/>
      <c r="E28" s="3"/>
      <c r="F28" s="5">
        <v>10</v>
      </c>
      <c r="G28" s="6">
        <f t="shared" si="0"/>
        <v>0</v>
      </c>
      <c r="H28" s="7" t="s">
        <v>7</v>
      </c>
      <c r="I28" s="3" t="s">
        <v>164</v>
      </c>
      <c r="J28" s="3"/>
      <c r="K28" s="3" t="s">
        <v>256</v>
      </c>
      <c r="L28" s="3" t="s">
        <v>257</v>
      </c>
    </row>
    <row r="29" spans="1:12" ht="15" customHeight="1" x14ac:dyDescent="0.2">
      <c r="A29" s="8" t="s">
        <v>258</v>
      </c>
      <c r="B29" s="9" t="s">
        <v>259</v>
      </c>
      <c r="C29" s="8" t="s">
        <v>145</v>
      </c>
      <c r="D29" s="10">
        <v>-0.08</v>
      </c>
      <c r="E29" s="9"/>
      <c r="F29" s="11">
        <v>8</v>
      </c>
      <c r="G29" s="12">
        <f t="shared" si="0"/>
        <v>0</v>
      </c>
      <c r="H29" s="7" t="s">
        <v>7</v>
      </c>
      <c r="I29" s="9" t="s">
        <v>169</v>
      </c>
      <c r="J29" s="9"/>
      <c r="K29" s="9" t="s">
        <v>260</v>
      </c>
      <c r="L29" s="9" t="s">
        <v>261</v>
      </c>
    </row>
    <row r="30" spans="1:12" ht="15" customHeight="1" x14ac:dyDescent="0.2">
      <c r="A30" s="2" t="s">
        <v>262</v>
      </c>
      <c r="B30" s="3" t="s">
        <v>263</v>
      </c>
      <c r="C30" s="2" t="s">
        <v>145</v>
      </c>
      <c r="D30" s="4">
        <v>-1.22</v>
      </c>
      <c r="E30" s="3"/>
      <c r="F30" s="5">
        <v>26</v>
      </c>
      <c r="G30" s="6">
        <f t="shared" si="0"/>
        <v>0</v>
      </c>
      <c r="H30" s="7" t="s">
        <v>7</v>
      </c>
      <c r="I30" s="3" t="s">
        <v>169</v>
      </c>
      <c r="J30" s="3"/>
      <c r="K30" s="3" t="s">
        <v>264</v>
      </c>
      <c r="L30" s="3" t="s">
        <v>265</v>
      </c>
    </row>
    <row r="31" spans="1:12" ht="15" customHeight="1" x14ac:dyDescent="0.2">
      <c r="A31" s="8" t="s">
        <v>266</v>
      </c>
      <c r="B31" s="9" t="s">
        <v>267</v>
      </c>
      <c r="C31" s="8" t="s">
        <v>145</v>
      </c>
      <c r="D31" s="10">
        <v>-0.56999999999999995</v>
      </c>
      <c r="E31" s="9"/>
      <c r="F31" s="11">
        <v>12</v>
      </c>
      <c r="G31" s="12">
        <f t="shared" si="0"/>
        <v>0</v>
      </c>
      <c r="H31" s="7" t="s">
        <v>7</v>
      </c>
      <c r="I31" s="9" t="s">
        <v>169</v>
      </c>
      <c r="J31" s="9"/>
      <c r="K31" s="9" t="s">
        <v>268</v>
      </c>
      <c r="L31" s="9" t="s">
        <v>269</v>
      </c>
    </row>
    <row r="32" spans="1:12" ht="15" customHeight="1" x14ac:dyDescent="0.2">
      <c r="A32" s="2" t="s">
        <v>270</v>
      </c>
      <c r="B32" s="3" t="s">
        <v>271</v>
      </c>
      <c r="C32" s="2" t="s">
        <v>145</v>
      </c>
      <c r="D32" s="4">
        <v>1.89</v>
      </c>
      <c r="E32" s="4">
        <v>1.66</v>
      </c>
      <c r="F32" s="5">
        <v>10.44</v>
      </c>
      <c r="G32" s="6">
        <f t="shared" si="0"/>
        <v>0</v>
      </c>
      <c r="H32" s="13" t="s">
        <v>5</v>
      </c>
      <c r="I32" s="3"/>
      <c r="J32" s="3" t="s">
        <v>272</v>
      </c>
      <c r="K32" s="3" t="s">
        <v>273</v>
      </c>
      <c r="L32" s="3" t="s">
        <v>274</v>
      </c>
    </row>
    <row r="33" spans="1:12" ht="15" customHeight="1" x14ac:dyDescent="0.2">
      <c r="A33" s="8" t="s">
        <v>275</v>
      </c>
      <c r="B33" s="9" t="s">
        <v>276</v>
      </c>
      <c r="C33" s="8" t="s">
        <v>145</v>
      </c>
      <c r="D33" s="10">
        <v>1.72</v>
      </c>
      <c r="E33" s="10">
        <v>1.22</v>
      </c>
      <c r="F33" s="11">
        <v>9.06</v>
      </c>
      <c r="G33" s="12">
        <f t="shared" si="0"/>
        <v>0</v>
      </c>
      <c r="H33" s="13" t="s">
        <v>5</v>
      </c>
      <c r="I33" s="9"/>
      <c r="J33" s="9" t="s">
        <v>272</v>
      </c>
      <c r="K33" s="9" t="s">
        <v>277</v>
      </c>
      <c r="L33" s="9" t="s">
        <v>278</v>
      </c>
    </row>
    <row r="34" spans="1:12" ht="15" customHeight="1" x14ac:dyDescent="0.2">
      <c r="A34" s="2" t="s">
        <v>279</v>
      </c>
      <c r="B34" s="3" t="s">
        <v>280</v>
      </c>
      <c r="C34" s="2" t="s">
        <v>145</v>
      </c>
      <c r="D34" s="4">
        <v>0.36</v>
      </c>
      <c r="E34" s="4">
        <v>0.19</v>
      </c>
      <c r="F34" s="5">
        <v>4.09</v>
      </c>
      <c r="G34" s="6">
        <f t="shared" si="0"/>
        <v>0</v>
      </c>
      <c r="H34" s="7" t="s">
        <v>7</v>
      </c>
      <c r="I34" s="3" t="s">
        <v>164</v>
      </c>
      <c r="J34" s="3"/>
      <c r="K34" s="3" t="s">
        <v>281</v>
      </c>
      <c r="L34" s="3" t="s">
        <v>282</v>
      </c>
    </row>
    <row r="35" spans="1:12" ht="15" customHeight="1" x14ac:dyDescent="0.2">
      <c r="A35" s="8" t="s">
        <v>283</v>
      </c>
      <c r="B35" s="9" t="s">
        <v>284</v>
      </c>
      <c r="C35" s="8" t="s">
        <v>145</v>
      </c>
      <c r="D35" s="10">
        <v>0.57999999999999996</v>
      </c>
      <c r="E35" s="10">
        <v>0.08</v>
      </c>
      <c r="F35" s="11">
        <v>86.03</v>
      </c>
      <c r="G35" s="12">
        <f t="shared" si="0"/>
        <v>0</v>
      </c>
      <c r="H35" s="7" t="s">
        <v>7</v>
      </c>
      <c r="I35" s="9" t="s">
        <v>251</v>
      </c>
      <c r="J35" s="9"/>
      <c r="K35" s="9" t="s">
        <v>285</v>
      </c>
      <c r="L35" s="9" t="s">
        <v>286</v>
      </c>
    </row>
    <row r="36" spans="1:12" ht="15" customHeight="1" x14ac:dyDescent="0.2">
      <c r="A36" s="2" t="s">
        <v>287</v>
      </c>
      <c r="B36" s="3" t="s">
        <v>288</v>
      </c>
      <c r="C36" s="2" t="s">
        <v>145</v>
      </c>
      <c r="D36" s="4">
        <v>-0.27</v>
      </c>
      <c r="E36" s="4">
        <v>-0.03</v>
      </c>
      <c r="F36" s="5">
        <v>62.83</v>
      </c>
      <c r="G36" s="6">
        <f t="shared" si="0"/>
        <v>0</v>
      </c>
      <c r="H36" s="7" t="s">
        <v>7</v>
      </c>
      <c r="I36" s="3" t="s">
        <v>169</v>
      </c>
      <c r="J36" s="3"/>
      <c r="K36" s="3" t="s">
        <v>289</v>
      </c>
      <c r="L36" s="3" t="s">
        <v>290</v>
      </c>
    </row>
    <row r="37" spans="1:12" ht="15" customHeight="1" x14ac:dyDescent="0.2">
      <c r="A37" s="8" t="s">
        <v>291</v>
      </c>
      <c r="B37" s="9" t="s">
        <v>292</v>
      </c>
      <c r="C37" s="8" t="s">
        <v>145</v>
      </c>
      <c r="D37" s="10">
        <v>-0.61</v>
      </c>
      <c r="E37" s="10">
        <v>-0.13</v>
      </c>
      <c r="F37" s="11">
        <v>47.58</v>
      </c>
      <c r="G37" s="12">
        <f t="shared" si="0"/>
        <v>0</v>
      </c>
      <c r="H37" s="7" t="s">
        <v>7</v>
      </c>
      <c r="I37" s="9" t="s">
        <v>169</v>
      </c>
      <c r="J37" s="9"/>
      <c r="K37" s="9" t="s">
        <v>293</v>
      </c>
      <c r="L37" s="9" t="s">
        <v>294</v>
      </c>
    </row>
    <row r="38" spans="1:12" ht="15" customHeight="1" x14ac:dyDescent="0.2">
      <c r="A38" s="2" t="s">
        <v>295</v>
      </c>
      <c r="B38" s="3" t="s">
        <v>296</v>
      </c>
      <c r="C38" s="2" t="s">
        <v>145</v>
      </c>
      <c r="D38" s="4">
        <v>1.0900000000000001</v>
      </c>
      <c r="E38" s="4">
        <v>1.05</v>
      </c>
      <c r="F38" s="5">
        <v>3.07</v>
      </c>
      <c r="G38" s="6">
        <f t="shared" si="0"/>
        <v>0</v>
      </c>
      <c r="H38" s="7" t="s">
        <v>7</v>
      </c>
      <c r="I38" s="3" t="s">
        <v>297</v>
      </c>
      <c r="J38" s="3"/>
      <c r="K38" s="3" t="s">
        <v>298</v>
      </c>
      <c r="L38" s="3" t="s">
        <v>299</v>
      </c>
    </row>
    <row r="39" spans="1:12" ht="15" customHeight="1" x14ac:dyDescent="0.2">
      <c r="A39" s="8" t="s">
        <v>300</v>
      </c>
      <c r="B39" s="9" t="s">
        <v>301</v>
      </c>
      <c r="C39" s="8" t="s">
        <v>145</v>
      </c>
      <c r="D39" s="10">
        <v>0.66</v>
      </c>
      <c r="E39" s="10">
        <v>0.5</v>
      </c>
      <c r="F39" s="11">
        <v>2.64</v>
      </c>
      <c r="G39" s="12">
        <f t="shared" si="0"/>
        <v>0</v>
      </c>
      <c r="H39" s="7" t="s">
        <v>7</v>
      </c>
      <c r="I39" s="9" t="s">
        <v>164</v>
      </c>
      <c r="J39" s="9"/>
      <c r="K39" s="9" t="s">
        <v>302</v>
      </c>
      <c r="L39" s="9" t="s">
        <v>303</v>
      </c>
    </row>
    <row r="40" spans="1:12" ht="15" customHeight="1" x14ac:dyDescent="0.2">
      <c r="A40" s="2" t="s">
        <v>304</v>
      </c>
      <c r="B40" s="3" t="s">
        <v>305</v>
      </c>
      <c r="C40" s="2" t="s">
        <v>145</v>
      </c>
      <c r="D40" s="4">
        <v>1.04</v>
      </c>
      <c r="E40" s="4">
        <v>0.68</v>
      </c>
      <c r="F40" s="5">
        <v>9.4600000000000009</v>
      </c>
      <c r="G40" s="3"/>
      <c r="H40" s="7" t="s">
        <v>7</v>
      </c>
      <c r="I40" s="3" t="s">
        <v>306</v>
      </c>
      <c r="J40" s="3"/>
      <c r="K40" s="3" t="s">
        <v>307</v>
      </c>
      <c r="L40" s="3" t="s">
        <v>308</v>
      </c>
    </row>
    <row r="41" spans="1:12" ht="15" customHeight="1" x14ac:dyDescent="0.2">
      <c r="A41" s="8" t="s">
        <v>309</v>
      </c>
      <c r="B41" s="9" t="s">
        <v>310</v>
      </c>
      <c r="C41" s="8" t="s">
        <v>145</v>
      </c>
      <c r="D41" s="10">
        <v>1.23</v>
      </c>
      <c r="E41" s="10">
        <v>0.87</v>
      </c>
      <c r="F41" s="11">
        <v>10.18</v>
      </c>
      <c r="G41" s="12">
        <v>0.53649999999999998</v>
      </c>
      <c r="H41" s="7" t="s">
        <v>7</v>
      </c>
      <c r="I41" s="9" t="s">
        <v>311</v>
      </c>
      <c r="J41" s="9"/>
      <c r="K41" s="9" t="s">
        <v>312</v>
      </c>
      <c r="L41" s="9" t="s">
        <v>313</v>
      </c>
    </row>
    <row r="42" spans="1:12" ht="15" customHeight="1" x14ac:dyDescent="0.2">
      <c r="A42" s="2" t="s">
        <v>314</v>
      </c>
      <c r="B42" s="3" t="s">
        <v>315</v>
      </c>
      <c r="C42" s="2" t="s">
        <v>145</v>
      </c>
      <c r="D42" s="4">
        <v>1.1399999999999999</v>
      </c>
      <c r="E42" s="4">
        <v>0.77</v>
      </c>
      <c r="F42" s="5">
        <v>13.12</v>
      </c>
      <c r="G42" s="3"/>
      <c r="H42" s="7" t="s">
        <v>7</v>
      </c>
      <c r="I42" s="3" t="s">
        <v>306</v>
      </c>
      <c r="J42" s="3"/>
      <c r="K42" s="3" t="s">
        <v>316</v>
      </c>
      <c r="L42" s="3" t="s">
        <v>317</v>
      </c>
    </row>
    <row r="43" spans="1:12" ht="15" customHeight="1" x14ac:dyDescent="0.2">
      <c r="A43" s="8" t="s">
        <v>318</v>
      </c>
      <c r="B43" s="9" t="s">
        <v>319</v>
      </c>
      <c r="C43" s="8" t="s">
        <v>145</v>
      </c>
      <c r="D43" s="10">
        <v>1.4</v>
      </c>
      <c r="E43" s="10">
        <v>1.06</v>
      </c>
      <c r="F43" s="11">
        <v>14.26</v>
      </c>
      <c r="G43" s="12">
        <v>0.54820000000000002</v>
      </c>
      <c r="H43" s="8"/>
      <c r="I43" s="9"/>
      <c r="J43" s="9" t="s">
        <v>320</v>
      </c>
      <c r="K43" s="9" t="s">
        <v>321</v>
      </c>
      <c r="L43" s="9" t="s">
        <v>322</v>
      </c>
    </row>
    <row r="44" spans="1:12" ht="15" customHeight="1" x14ac:dyDescent="0.2">
      <c r="A44" s="2" t="s">
        <v>323</v>
      </c>
      <c r="B44" s="3" t="s">
        <v>324</v>
      </c>
      <c r="C44" s="2" t="s">
        <v>145</v>
      </c>
      <c r="D44" s="4">
        <v>0.72</v>
      </c>
      <c r="E44" s="4">
        <v>0.35</v>
      </c>
      <c r="F44" s="5">
        <v>9.07</v>
      </c>
      <c r="G44" s="3"/>
      <c r="H44" s="7" t="s">
        <v>7</v>
      </c>
      <c r="I44" s="3" t="s">
        <v>306</v>
      </c>
      <c r="J44" s="3"/>
      <c r="K44" s="3" t="s">
        <v>325</v>
      </c>
      <c r="L44" s="3" t="s">
        <v>326</v>
      </c>
    </row>
    <row r="45" spans="1:12" ht="15" customHeight="1" x14ac:dyDescent="0.2">
      <c r="A45" s="8" t="s">
        <v>327</v>
      </c>
      <c r="B45" s="9" t="s">
        <v>328</v>
      </c>
      <c r="C45" s="8" t="s">
        <v>145</v>
      </c>
      <c r="D45" s="10">
        <v>1.6</v>
      </c>
      <c r="E45" s="10">
        <v>1.1100000000000001</v>
      </c>
      <c r="F45" s="11">
        <v>8.06</v>
      </c>
      <c r="G45" s="12">
        <v>0.51990000000000003</v>
      </c>
      <c r="H45" s="8"/>
      <c r="I45" s="9"/>
      <c r="J45" s="9" t="s">
        <v>329</v>
      </c>
      <c r="K45" s="9" t="s">
        <v>330</v>
      </c>
      <c r="L45" s="9" t="s">
        <v>331</v>
      </c>
    </row>
    <row r="46" spans="1:12" ht="15" customHeight="1" x14ac:dyDescent="0.2">
      <c r="A46" s="2" t="s">
        <v>332</v>
      </c>
      <c r="B46" s="3" t="s">
        <v>333</v>
      </c>
      <c r="C46" s="2" t="s">
        <v>145</v>
      </c>
      <c r="D46" s="4">
        <v>0.26</v>
      </c>
      <c r="E46" s="4">
        <v>0.12</v>
      </c>
      <c r="F46" s="5">
        <v>9.4600000000000009</v>
      </c>
      <c r="G46" s="3"/>
      <c r="H46" s="7" t="s">
        <v>7</v>
      </c>
      <c r="I46" s="3" t="s">
        <v>164</v>
      </c>
      <c r="J46" s="3"/>
      <c r="K46" s="3" t="s">
        <v>334</v>
      </c>
      <c r="L46" s="3" t="s">
        <v>335</v>
      </c>
    </row>
    <row r="47" spans="1:12" ht="15" customHeight="1" x14ac:dyDescent="0.2">
      <c r="A47" s="8" t="s">
        <v>336</v>
      </c>
      <c r="B47" s="9" t="s">
        <v>337</v>
      </c>
      <c r="C47" s="8" t="s">
        <v>145</v>
      </c>
      <c r="D47" s="10">
        <v>0.69</v>
      </c>
      <c r="E47" s="10">
        <v>0.36</v>
      </c>
      <c r="F47" s="11">
        <v>9.31</v>
      </c>
      <c r="G47" s="9"/>
      <c r="H47" s="7" t="s">
        <v>7</v>
      </c>
      <c r="I47" s="9" t="s">
        <v>338</v>
      </c>
      <c r="J47" s="9"/>
      <c r="K47" s="9" t="s">
        <v>339</v>
      </c>
      <c r="L47" s="9" t="s">
        <v>340</v>
      </c>
    </row>
    <row r="48" spans="1:12" ht="15" customHeight="1" x14ac:dyDescent="0.2">
      <c r="A48" s="2" t="s">
        <v>341</v>
      </c>
      <c r="B48" s="3" t="s">
        <v>342</v>
      </c>
      <c r="C48" s="2" t="s">
        <v>145</v>
      </c>
      <c r="D48" s="4">
        <v>0.19</v>
      </c>
      <c r="E48" s="4">
        <v>7.0000000000000007E-2</v>
      </c>
      <c r="F48" s="5">
        <v>9.48</v>
      </c>
      <c r="G48" s="3"/>
      <c r="H48" s="7" t="s">
        <v>7</v>
      </c>
      <c r="I48" s="3" t="s">
        <v>164</v>
      </c>
      <c r="J48" s="3"/>
      <c r="K48" s="3" t="s">
        <v>343</v>
      </c>
      <c r="L48" s="3" t="s">
        <v>344</v>
      </c>
    </row>
    <row r="49" spans="1:12" ht="15" customHeight="1" x14ac:dyDescent="0.2">
      <c r="A49" s="8" t="s">
        <v>345</v>
      </c>
      <c r="B49" s="9" t="s">
        <v>346</v>
      </c>
      <c r="C49" s="8" t="s">
        <v>145</v>
      </c>
      <c r="D49" s="10">
        <v>0.48</v>
      </c>
      <c r="E49" s="10">
        <v>0.28999999999999998</v>
      </c>
      <c r="F49" s="11">
        <v>8.33</v>
      </c>
      <c r="G49" s="9"/>
      <c r="H49" s="7" t="s">
        <v>7</v>
      </c>
      <c r="I49" s="9" t="s">
        <v>347</v>
      </c>
      <c r="J49" s="9"/>
      <c r="K49" s="9" t="s">
        <v>348</v>
      </c>
      <c r="L49" s="9" t="s">
        <v>349</v>
      </c>
    </row>
    <row r="50" spans="1:12" ht="15" customHeight="1" x14ac:dyDescent="0.2">
      <c r="A50" s="2" t="s">
        <v>350</v>
      </c>
      <c r="B50" s="3" t="s">
        <v>351</v>
      </c>
      <c r="C50" s="2" t="s">
        <v>145</v>
      </c>
      <c r="D50" s="4">
        <v>1.03</v>
      </c>
      <c r="E50" s="4">
        <v>0.66</v>
      </c>
      <c r="F50" s="5">
        <v>9.74</v>
      </c>
      <c r="G50" s="3"/>
      <c r="H50" s="7" t="s">
        <v>7</v>
      </c>
      <c r="I50" s="3" t="s">
        <v>306</v>
      </c>
      <c r="J50" s="3"/>
      <c r="K50" s="3" t="s">
        <v>352</v>
      </c>
      <c r="L50" s="3" t="s">
        <v>353</v>
      </c>
    </row>
    <row r="51" spans="1:12" ht="15" customHeight="1" x14ac:dyDescent="0.2">
      <c r="A51" s="8" t="s">
        <v>354</v>
      </c>
      <c r="B51" s="9" t="s">
        <v>355</v>
      </c>
      <c r="C51" s="8" t="s">
        <v>145</v>
      </c>
      <c r="D51" s="10">
        <v>1.31</v>
      </c>
      <c r="E51" s="10">
        <v>0.95</v>
      </c>
      <c r="F51" s="11">
        <v>14.09</v>
      </c>
      <c r="G51" s="9"/>
      <c r="H51" s="7" t="s">
        <v>7</v>
      </c>
      <c r="I51" s="9" t="s">
        <v>306</v>
      </c>
      <c r="J51" s="9"/>
      <c r="K51" s="9" t="s">
        <v>356</v>
      </c>
      <c r="L51" s="9" t="s">
        <v>357</v>
      </c>
    </row>
    <row r="52" spans="1:12" ht="15" customHeight="1" x14ac:dyDescent="0.2">
      <c r="A52" s="2" t="s">
        <v>358</v>
      </c>
      <c r="B52" s="3" t="s">
        <v>359</v>
      </c>
      <c r="C52" s="2" t="s">
        <v>145</v>
      </c>
      <c r="D52" s="4">
        <v>1.37</v>
      </c>
      <c r="E52" s="4">
        <v>0.86</v>
      </c>
      <c r="F52" s="5">
        <v>7.85</v>
      </c>
      <c r="G52" s="3"/>
      <c r="H52" s="7" t="s">
        <v>7</v>
      </c>
      <c r="I52" s="3" t="s">
        <v>306</v>
      </c>
      <c r="J52" s="3"/>
      <c r="K52" s="3" t="s">
        <v>360</v>
      </c>
      <c r="L52" s="3" t="s">
        <v>361</v>
      </c>
    </row>
    <row r="53" spans="1:12" ht="15" customHeight="1" x14ac:dyDescent="0.2">
      <c r="A53" s="8" t="s">
        <v>362</v>
      </c>
      <c r="B53" s="9" t="s">
        <v>363</v>
      </c>
      <c r="C53" s="8" t="s">
        <v>145</v>
      </c>
      <c r="D53" s="10">
        <v>1.67</v>
      </c>
      <c r="E53" s="10">
        <v>1.29</v>
      </c>
      <c r="F53" s="11">
        <v>12.79</v>
      </c>
      <c r="G53" s="12">
        <v>0.505</v>
      </c>
      <c r="H53" s="8"/>
      <c r="I53" s="9"/>
      <c r="J53" s="9" t="s">
        <v>364</v>
      </c>
      <c r="K53" s="9" t="s">
        <v>365</v>
      </c>
      <c r="L53" s="9" t="s">
        <v>366</v>
      </c>
    </row>
    <row r="54" spans="1:12" ht="15" customHeight="1" x14ac:dyDescent="0.2">
      <c r="A54" s="2" t="s">
        <v>367</v>
      </c>
      <c r="B54" s="3" t="s">
        <v>368</v>
      </c>
      <c r="C54" s="2" t="s">
        <v>145</v>
      </c>
      <c r="D54" s="4">
        <v>1.64</v>
      </c>
      <c r="E54" s="4">
        <v>1.26</v>
      </c>
      <c r="F54" s="5">
        <v>8.98</v>
      </c>
      <c r="G54" s="6">
        <v>0.89939999999999998</v>
      </c>
      <c r="H54" s="7" t="s">
        <v>7</v>
      </c>
      <c r="I54" s="3" t="s">
        <v>211</v>
      </c>
      <c r="J54" s="3"/>
      <c r="K54" s="3" t="s">
        <v>369</v>
      </c>
      <c r="L54" s="3" t="s">
        <v>370</v>
      </c>
    </row>
    <row r="55" spans="1:12" ht="15" customHeight="1" x14ac:dyDescent="0.2">
      <c r="A55" s="8"/>
      <c r="B55" s="9"/>
      <c r="C55" s="8"/>
      <c r="D55" s="9"/>
      <c r="E55" s="9"/>
      <c r="F55" s="9"/>
      <c r="G55" s="9"/>
      <c r="H55" s="8"/>
      <c r="I55" s="9"/>
      <c r="J55" s="9"/>
      <c r="K55" s="9"/>
      <c r="L55" s="9"/>
    </row>
    <row r="56" spans="1:12" ht="15" customHeight="1" x14ac:dyDescent="0.2">
      <c r="A56" s="2"/>
      <c r="B56" s="3"/>
      <c r="C56" s="2"/>
      <c r="D56" s="3"/>
      <c r="E56" s="3"/>
      <c r="F56" s="3"/>
      <c r="G56" s="3"/>
      <c r="H56" s="2"/>
      <c r="I56" s="3"/>
      <c r="J56" s="3"/>
      <c r="K56" s="3"/>
      <c r="L56" s="3"/>
    </row>
    <row r="57" spans="1:12" ht="15" customHeight="1" x14ac:dyDescent="0.2">
      <c r="A57" s="8"/>
      <c r="B57" s="9"/>
      <c r="C57" s="8"/>
      <c r="D57" s="9"/>
      <c r="E57" s="9"/>
      <c r="F57" s="9"/>
      <c r="G57" s="9"/>
      <c r="H57" s="8"/>
      <c r="I57" s="9"/>
      <c r="J57" s="9"/>
      <c r="K57" s="9"/>
      <c r="L57" s="9"/>
    </row>
    <row r="58" spans="1:12" ht="15" customHeight="1" x14ac:dyDescent="0.2">
      <c r="A58" s="2"/>
      <c r="B58" s="3"/>
      <c r="C58" s="2"/>
      <c r="D58" s="3"/>
      <c r="E58" s="3"/>
      <c r="F58" s="3"/>
      <c r="G58" s="3"/>
      <c r="H58" s="2"/>
      <c r="I58" s="3"/>
      <c r="J58" s="3"/>
      <c r="K58" s="3"/>
      <c r="L58" s="3"/>
    </row>
    <row r="59" spans="1:12" ht="15" customHeight="1" x14ac:dyDescent="0.2">
      <c r="A59" s="8"/>
      <c r="B59" s="9"/>
      <c r="C59" s="8"/>
      <c r="D59" s="9"/>
      <c r="E59" s="9"/>
      <c r="F59" s="9"/>
      <c r="G59" s="9"/>
      <c r="H59" s="8"/>
      <c r="I59" s="9"/>
      <c r="J59" s="9"/>
      <c r="K59" s="9"/>
      <c r="L59" s="9"/>
    </row>
    <row r="60" spans="1:12" ht="15" customHeight="1" x14ac:dyDescent="0.2">
      <c r="A60" s="2"/>
      <c r="B60" s="3"/>
      <c r="C60" s="2"/>
      <c r="D60" s="3"/>
      <c r="E60" s="3"/>
      <c r="F60" s="3"/>
      <c r="G60" s="3"/>
      <c r="H60" s="2"/>
      <c r="I60" s="3"/>
      <c r="J60" s="3"/>
      <c r="K60" s="3"/>
      <c r="L60" s="3"/>
    </row>
    <row r="61" spans="1:12" ht="15" customHeight="1" x14ac:dyDescent="0.2">
      <c r="A61" s="8"/>
      <c r="B61" s="9"/>
      <c r="C61" s="8"/>
      <c r="D61" s="9"/>
      <c r="E61" s="9"/>
      <c r="F61" s="9"/>
      <c r="G61" s="9"/>
      <c r="H61" s="8"/>
      <c r="I61" s="9"/>
      <c r="J61" s="9"/>
      <c r="K61" s="9"/>
      <c r="L61" s="9"/>
    </row>
    <row r="62" spans="1:12" ht="15" customHeight="1" x14ac:dyDescent="0.2">
      <c r="A62" s="2"/>
      <c r="B62" s="3"/>
      <c r="C62" s="2"/>
      <c r="D62" s="3"/>
      <c r="E62" s="3"/>
      <c r="F62" s="3"/>
      <c r="G62" s="3"/>
      <c r="H62" s="2"/>
      <c r="I62" s="3"/>
      <c r="J62" s="3"/>
      <c r="K62" s="3"/>
      <c r="L62" s="3"/>
    </row>
    <row r="63" spans="1:12" ht="15" customHeight="1" x14ac:dyDescent="0.2">
      <c r="A63" s="8"/>
      <c r="B63" s="9"/>
      <c r="C63" s="8"/>
      <c r="D63" s="9"/>
      <c r="E63" s="9"/>
      <c r="F63" s="9"/>
      <c r="G63" s="9"/>
      <c r="H63" s="8"/>
      <c r="I63" s="9"/>
      <c r="J63" s="9"/>
      <c r="K63" s="9"/>
      <c r="L63" s="9"/>
    </row>
    <row r="64" spans="1:12" ht="15" customHeight="1" x14ac:dyDescent="0.2">
      <c r="A64" s="2"/>
      <c r="B64" s="3"/>
      <c r="C64" s="2"/>
      <c r="D64" s="3"/>
      <c r="E64" s="3"/>
      <c r="F64" s="3"/>
      <c r="G64" s="3"/>
      <c r="H64" s="2"/>
      <c r="I64" s="3"/>
      <c r="J64" s="3"/>
      <c r="K64" s="3"/>
      <c r="L64" s="3"/>
    </row>
    <row r="65" spans="1:12" ht="15" customHeight="1" x14ac:dyDescent="0.2">
      <c r="A65" s="8"/>
      <c r="B65" s="9"/>
      <c r="C65" s="8"/>
      <c r="D65" s="9"/>
      <c r="E65" s="9"/>
      <c r="F65" s="9"/>
      <c r="G65" s="9"/>
      <c r="H65" s="8"/>
      <c r="I65" s="9"/>
      <c r="J65" s="9"/>
      <c r="K65" s="9"/>
      <c r="L65" s="9"/>
    </row>
    <row r="66" spans="1:12" ht="15" customHeight="1" x14ac:dyDescent="0.2">
      <c r="A66" s="2"/>
      <c r="B66" s="3"/>
      <c r="C66" s="2"/>
      <c r="D66" s="3"/>
      <c r="E66" s="3"/>
      <c r="F66" s="3"/>
      <c r="G66" s="3"/>
      <c r="H66" s="2"/>
      <c r="I66" s="3"/>
      <c r="J66" s="3"/>
      <c r="K66" s="3"/>
      <c r="L66" s="3"/>
    </row>
    <row r="67" spans="1:12" ht="15" customHeight="1" x14ac:dyDescent="0.2">
      <c r="A67" s="8"/>
      <c r="B67" s="9"/>
      <c r="C67" s="8"/>
      <c r="D67" s="9"/>
      <c r="E67" s="9"/>
      <c r="F67" s="9"/>
      <c r="G67" s="9"/>
      <c r="H67" s="8"/>
      <c r="I67" s="9"/>
      <c r="J67" s="9"/>
      <c r="K67" s="9"/>
      <c r="L67" s="9"/>
    </row>
    <row r="68" spans="1:12" ht="15" customHeight="1" x14ac:dyDescent="0.2">
      <c r="A68" s="2"/>
      <c r="B68" s="3"/>
      <c r="C68" s="2"/>
      <c r="D68" s="3"/>
      <c r="E68" s="3"/>
      <c r="F68" s="3"/>
      <c r="G68" s="3"/>
      <c r="H68" s="2"/>
      <c r="I68" s="3"/>
      <c r="J68" s="3"/>
      <c r="K68" s="3"/>
      <c r="L68" s="3"/>
    </row>
    <row r="69" spans="1:12" ht="15" customHeight="1" x14ac:dyDescent="0.2">
      <c r="A69" s="8"/>
      <c r="B69" s="9"/>
      <c r="C69" s="8"/>
      <c r="D69" s="9"/>
      <c r="E69" s="9"/>
      <c r="F69" s="9"/>
      <c r="G69" s="9"/>
      <c r="H69" s="8"/>
      <c r="I69" s="9"/>
      <c r="J69" s="9"/>
      <c r="K69" s="9"/>
      <c r="L69" s="9"/>
    </row>
    <row r="70" spans="1:12" ht="15" customHeight="1" x14ac:dyDescent="0.2">
      <c r="A70" s="2"/>
      <c r="B70" s="3"/>
      <c r="C70" s="2"/>
      <c r="D70" s="3"/>
      <c r="E70" s="3"/>
      <c r="F70" s="3"/>
      <c r="G70" s="3"/>
      <c r="H70" s="2"/>
      <c r="I70" s="3"/>
      <c r="J70" s="3"/>
      <c r="K70" s="3"/>
      <c r="L70" s="3"/>
    </row>
    <row r="71" spans="1:12" ht="15" customHeight="1" x14ac:dyDescent="0.2">
      <c r="A71" s="8"/>
      <c r="B71" s="9"/>
      <c r="C71" s="8"/>
      <c r="D71" s="9"/>
      <c r="E71" s="9"/>
      <c r="F71" s="9"/>
      <c r="G71" s="9"/>
      <c r="H71" s="8"/>
      <c r="I71" s="9"/>
      <c r="J71" s="9"/>
      <c r="K71" s="9"/>
      <c r="L71" s="9"/>
    </row>
    <row r="72" spans="1:12" ht="15" customHeight="1" x14ac:dyDescent="0.2">
      <c r="A72" s="2"/>
      <c r="B72" s="3"/>
      <c r="C72" s="2"/>
      <c r="D72" s="3"/>
      <c r="E72" s="3"/>
      <c r="F72" s="3"/>
      <c r="G72" s="3"/>
      <c r="H72" s="2"/>
      <c r="I72" s="3"/>
      <c r="J72" s="3"/>
      <c r="K72" s="3"/>
      <c r="L72" s="3"/>
    </row>
    <row r="73" spans="1:12" ht="15" customHeight="1" x14ac:dyDescent="0.2">
      <c r="A73" s="8"/>
      <c r="B73" s="9"/>
      <c r="C73" s="8"/>
      <c r="D73" s="9"/>
      <c r="E73" s="9"/>
      <c r="F73" s="9"/>
      <c r="G73" s="9"/>
      <c r="H73" s="8"/>
      <c r="I73" s="9"/>
      <c r="J73" s="9"/>
      <c r="K73" s="9"/>
      <c r="L73" s="9"/>
    </row>
    <row r="74" spans="1:12" ht="15" customHeight="1" x14ac:dyDescent="0.2">
      <c r="A74" s="2"/>
      <c r="B74" s="3"/>
      <c r="C74" s="2"/>
      <c r="D74" s="3"/>
      <c r="E74" s="3"/>
      <c r="F74" s="3"/>
      <c r="G74" s="3"/>
      <c r="H74" s="2"/>
      <c r="I74" s="3"/>
      <c r="J74" s="3"/>
      <c r="K74" s="3"/>
      <c r="L74" s="3"/>
    </row>
    <row r="75" spans="1:12" ht="15" customHeight="1" x14ac:dyDescent="0.2">
      <c r="A75" s="8"/>
      <c r="B75" s="9"/>
      <c r="C75" s="8"/>
      <c r="D75" s="9"/>
      <c r="E75" s="9"/>
      <c r="F75" s="9"/>
      <c r="G75" s="9"/>
      <c r="H75" s="8"/>
      <c r="I75" s="9"/>
      <c r="J75" s="9"/>
      <c r="K75" s="9"/>
      <c r="L75" s="9"/>
    </row>
    <row r="76" spans="1:12" ht="15" customHeight="1" x14ac:dyDescent="0.2">
      <c r="A76" s="2"/>
      <c r="B76" s="3"/>
      <c r="C76" s="2"/>
      <c r="D76" s="3"/>
      <c r="E76" s="3"/>
      <c r="F76" s="3"/>
      <c r="G76" s="3"/>
      <c r="H76" s="2"/>
      <c r="I76" s="3"/>
      <c r="J76" s="3"/>
      <c r="K76" s="3"/>
      <c r="L76" s="3"/>
    </row>
    <row r="77" spans="1:12" ht="15" customHeight="1" x14ac:dyDescent="0.2">
      <c r="A77" s="8"/>
      <c r="B77" s="9"/>
      <c r="C77" s="8"/>
      <c r="D77" s="9"/>
      <c r="E77" s="9"/>
      <c r="F77" s="9"/>
      <c r="G77" s="9"/>
      <c r="H77" s="8"/>
      <c r="I77" s="9"/>
      <c r="J77" s="9"/>
      <c r="K77" s="9"/>
      <c r="L77" s="9"/>
    </row>
    <row r="78" spans="1:12" ht="15" customHeight="1" x14ac:dyDescent="0.2">
      <c r="A78" s="2"/>
      <c r="B78" s="3"/>
      <c r="C78" s="2"/>
      <c r="D78" s="3"/>
      <c r="E78" s="3"/>
      <c r="F78" s="3"/>
      <c r="G78" s="3"/>
      <c r="H78" s="2"/>
      <c r="I78" s="3"/>
      <c r="J78" s="3"/>
      <c r="K78" s="3"/>
      <c r="L78" s="3"/>
    </row>
    <row r="79" spans="1:12" ht="15" customHeight="1" x14ac:dyDescent="0.2">
      <c r="A79" s="8"/>
      <c r="B79" s="9"/>
      <c r="C79" s="8"/>
      <c r="D79" s="9"/>
      <c r="E79" s="9"/>
      <c r="F79" s="9"/>
      <c r="G79" s="9"/>
      <c r="H79" s="8"/>
      <c r="I79" s="9"/>
      <c r="J79" s="9"/>
      <c r="K79" s="9"/>
      <c r="L79" s="9"/>
    </row>
    <row r="80" spans="1:12" ht="15" customHeight="1" x14ac:dyDescent="0.2">
      <c r="A80" s="2"/>
      <c r="B80" s="3"/>
      <c r="C80" s="2"/>
      <c r="D80" s="3"/>
      <c r="E80" s="3"/>
      <c r="F80" s="3"/>
      <c r="G80" s="3"/>
      <c r="H80" s="2"/>
      <c r="I80" s="3"/>
      <c r="J80" s="3"/>
      <c r="K80" s="3"/>
      <c r="L80" s="3"/>
    </row>
    <row r="81" spans="1:12" ht="15" customHeight="1" x14ac:dyDescent="0.2">
      <c r="A81" s="8"/>
      <c r="B81" s="9"/>
      <c r="C81" s="8"/>
      <c r="D81" s="9"/>
      <c r="E81" s="9"/>
      <c r="F81" s="9"/>
      <c r="G81" s="9"/>
      <c r="H81" s="8"/>
      <c r="I81" s="9"/>
      <c r="J81" s="9"/>
      <c r="K81" s="9"/>
      <c r="L81" s="9"/>
    </row>
    <row r="82" spans="1:12" ht="15" customHeight="1" x14ac:dyDescent="0.2">
      <c r="A82" s="2"/>
      <c r="B82" s="3"/>
      <c r="C82" s="2"/>
      <c r="D82" s="3"/>
      <c r="E82" s="3"/>
      <c r="F82" s="3"/>
      <c r="G82" s="3"/>
      <c r="H82" s="2"/>
      <c r="I82" s="3"/>
      <c r="J82" s="3"/>
      <c r="K82" s="3"/>
      <c r="L82" s="3"/>
    </row>
    <row r="83" spans="1:12" ht="15" customHeight="1" x14ac:dyDescent="0.2">
      <c r="A83" s="8"/>
      <c r="B83" s="9"/>
      <c r="C83" s="8"/>
      <c r="D83" s="9"/>
      <c r="E83" s="9"/>
      <c r="F83" s="9"/>
      <c r="G83" s="9"/>
      <c r="H83" s="8"/>
      <c r="I83" s="9"/>
      <c r="J83" s="9"/>
      <c r="K83" s="9"/>
      <c r="L83" s="9"/>
    </row>
    <row r="84" spans="1:12" ht="15" customHeight="1" x14ac:dyDescent="0.2">
      <c r="A84" s="2"/>
      <c r="B84" s="3"/>
      <c r="C84" s="2"/>
      <c r="D84" s="3"/>
      <c r="E84" s="3"/>
      <c r="F84" s="3"/>
      <c r="G84" s="3"/>
      <c r="H84" s="2"/>
      <c r="I84" s="3"/>
      <c r="J84" s="3"/>
      <c r="K84" s="3"/>
      <c r="L84" s="3"/>
    </row>
    <row r="85" spans="1:12" ht="15" customHeight="1" x14ac:dyDescent="0.2">
      <c r="A85" s="8"/>
      <c r="B85" s="9"/>
      <c r="C85" s="8"/>
      <c r="D85" s="9"/>
      <c r="E85" s="9"/>
      <c r="F85" s="9"/>
      <c r="G85" s="9"/>
      <c r="H85" s="8"/>
      <c r="I85" s="9"/>
      <c r="J85" s="9"/>
      <c r="K85" s="9"/>
      <c r="L85" s="9"/>
    </row>
    <row r="86" spans="1:12" ht="15" customHeight="1" x14ac:dyDescent="0.2">
      <c r="A86" s="2"/>
      <c r="B86" s="3"/>
      <c r="C86" s="2"/>
      <c r="D86" s="3"/>
      <c r="E86" s="3"/>
      <c r="F86" s="3"/>
      <c r="G86" s="3"/>
      <c r="H86" s="2"/>
      <c r="I86" s="3"/>
      <c r="J86" s="3"/>
      <c r="K86" s="3"/>
      <c r="L86" s="3"/>
    </row>
    <row r="87" spans="1:12" ht="15" customHeight="1" x14ac:dyDescent="0.2">
      <c r="A87" s="8"/>
      <c r="B87" s="9"/>
      <c r="C87" s="8"/>
      <c r="D87" s="9"/>
      <c r="E87" s="9"/>
      <c r="F87" s="9"/>
      <c r="G87" s="9"/>
      <c r="H87" s="8"/>
      <c r="I87" s="9"/>
      <c r="J87" s="9"/>
      <c r="K87" s="9"/>
      <c r="L87" s="9"/>
    </row>
    <row r="88" spans="1:12" ht="15" customHeight="1" x14ac:dyDescent="0.2">
      <c r="A88" s="2"/>
      <c r="B88" s="3"/>
      <c r="C88" s="2"/>
      <c r="D88" s="3"/>
      <c r="E88" s="3"/>
      <c r="F88" s="3"/>
      <c r="G88" s="3"/>
      <c r="H88" s="2"/>
      <c r="I88" s="3"/>
      <c r="J88" s="3"/>
      <c r="K88" s="3"/>
      <c r="L88" s="3"/>
    </row>
    <row r="89" spans="1:12" ht="15" customHeight="1" x14ac:dyDescent="0.2">
      <c r="A89" s="8"/>
      <c r="B89" s="9"/>
      <c r="C89" s="8"/>
      <c r="D89" s="9"/>
      <c r="E89" s="9"/>
      <c r="F89" s="9"/>
      <c r="G89" s="9"/>
      <c r="H89" s="8"/>
      <c r="I89" s="9"/>
      <c r="J89" s="9"/>
      <c r="K89" s="9"/>
      <c r="L89" s="9"/>
    </row>
    <row r="90" spans="1:12" ht="15" customHeight="1" x14ac:dyDescent="0.2">
      <c r="A90" s="2"/>
      <c r="B90" s="3"/>
      <c r="C90" s="2"/>
      <c r="D90" s="3"/>
      <c r="E90" s="3"/>
      <c r="F90" s="3"/>
      <c r="G90" s="3"/>
      <c r="H90" s="2"/>
      <c r="I90" s="3"/>
      <c r="J90" s="3"/>
      <c r="K90" s="3"/>
      <c r="L90" s="3"/>
    </row>
    <row r="91" spans="1:12" ht="15" customHeight="1" x14ac:dyDescent="0.2">
      <c r="A91" s="8"/>
      <c r="B91" s="9"/>
      <c r="C91" s="8"/>
      <c r="D91" s="9"/>
      <c r="E91" s="9"/>
      <c r="F91" s="9"/>
      <c r="G91" s="9"/>
      <c r="H91" s="8"/>
      <c r="I91" s="9"/>
      <c r="J91" s="9"/>
      <c r="K91" s="9"/>
      <c r="L91" s="9"/>
    </row>
    <row r="92" spans="1:12" ht="15" customHeight="1" x14ac:dyDescent="0.2">
      <c r="A92" s="2"/>
      <c r="B92" s="3"/>
      <c r="C92" s="2"/>
      <c r="D92" s="3"/>
      <c r="E92" s="3"/>
      <c r="F92" s="3"/>
      <c r="G92" s="3"/>
      <c r="H92" s="2"/>
      <c r="I92" s="3"/>
      <c r="J92" s="3"/>
      <c r="K92" s="3"/>
      <c r="L92" s="3"/>
    </row>
    <row r="93" spans="1:12" ht="15" customHeight="1" x14ac:dyDescent="0.2">
      <c r="A93" s="8"/>
      <c r="B93" s="9"/>
      <c r="C93" s="8"/>
      <c r="D93" s="9"/>
      <c r="E93" s="9"/>
      <c r="F93" s="9"/>
      <c r="G93" s="9"/>
      <c r="H93" s="8"/>
      <c r="I93" s="9"/>
      <c r="J93" s="9"/>
      <c r="K93" s="9"/>
      <c r="L93" s="9"/>
    </row>
    <row r="94" spans="1:12" ht="15" customHeight="1" x14ac:dyDescent="0.2">
      <c r="A94" s="2"/>
      <c r="B94" s="3"/>
      <c r="C94" s="2"/>
      <c r="D94" s="3"/>
      <c r="E94" s="3"/>
      <c r="F94" s="3"/>
      <c r="G94" s="3"/>
      <c r="H94" s="2"/>
      <c r="I94" s="3"/>
      <c r="J94" s="3"/>
      <c r="K94" s="3"/>
      <c r="L94" s="3"/>
    </row>
    <row r="95" spans="1:12" ht="15" customHeight="1" x14ac:dyDescent="0.2">
      <c r="A95" s="8"/>
      <c r="B95" s="9"/>
      <c r="C95" s="8"/>
      <c r="D95" s="9"/>
      <c r="E95" s="9"/>
      <c r="F95" s="9"/>
      <c r="G95" s="9"/>
      <c r="H95" s="8"/>
      <c r="I95" s="9"/>
      <c r="J95" s="9"/>
      <c r="K95" s="9"/>
      <c r="L95" s="9"/>
    </row>
    <row r="96" spans="1:12" ht="15" customHeight="1" x14ac:dyDescent="0.2">
      <c r="A96" s="2"/>
      <c r="B96" s="3"/>
      <c r="C96" s="2"/>
      <c r="D96" s="3"/>
      <c r="E96" s="3"/>
      <c r="F96" s="3"/>
      <c r="G96" s="3"/>
      <c r="H96" s="2"/>
      <c r="I96" s="3"/>
      <c r="J96" s="3"/>
      <c r="K96" s="3"/>
      <c r="L96" s="3"/>
    </row>
    <row r="97" spans="1:12" ht="15" customHeight="1" x14ac:dyDescent="0.2">
      <c r="A97" s="8"/>
      <c r="B97" s="9"/>
      <c r="C97" s="8"/>
      <c r="D97" s="9"/>
      <c r="E97" s="9"/>
      <c r="F97" s="9"/>
      <c r="G97" s="9"/>
      <c r="H97" s="8"/>
      <c r="I97" s="9"/>
      <c r="J97" s="9"/>
      <c r="K97" s="9"/>
      <c r="L97" s="9"/>
    </row>
    <row r="98" spans="1:12" ht="15" customHeight="1" x14ac:dyDescent="0.2">
      <c r="A98" s="2"/>
      <c r="B98" s="3"/>
      <c r="C98" s="2"/>
      <c r="D98" s="3"/>
      <c r="E98" s="3"/>
      <c r="F98" s="3"/>
      <c r="G98" s="3"/>
      <c r="H98" s="2"/>
      <c r="I98" s="3"/>
      <c r="J98" s="3"/>
      <c r="K98" s="3"/>
      <c r="L98" s="3"/>
    </row>
    <row r="99" spans="1:12" ht="15" customHeight="1" x14ac:dyDescent="0.2">
      <c r="A99" s="8"/>
      <c r="B99" s="9"/>
      <c r="C99" s="8"/>
      <c r="D99" s="9"/>
      <c r="E99" s="9"/>
      <c r="F99" s="9"/>
      <c r="G99" s="9"/>
      <c r="H99" s="8"/>
      <c r="I99" s="9"/>
      <c r="J99" s="9"/>
      <c r="K99" s="9"/>
      <c r="L99" s="9"/>
    </row>
    <row r="100" spans="1:12" ht="15" customHeight="1" x14ac:dyDescent="0.2">
      <c r="A100" s="2"/>
      <c r="B100" s="3"/>
      <c r="C100" s="2"/>
      <c r="D100" s="3"/>
      <c r="E100" s="3"/>
      <c r="F100" s="3"/>
      <c r="G100" s="3"/>
      <c r="H100" s="2"/>
      <c r="I100" s="3"/>
      <c r="J100" s="3"/>
      <c r="K100" s="3"/>
      <c r="L100" s="3"/>
    </row>
    <row r="101" spans="1:12" ht="15" customHeight="1" x14ac:dyDescent="0.2">
      <c r="A101" s="8"/>
      <c r="B101" s="9"/>
      <c r="C101" s="8"/>
      <c r="D101" s="9"/>
      <c r="E101" s="9"/>
      <c r="F101" s="9"/>
      <c r="G101" s="9"/>
      <c r="H101" s="8"/>
      <c r="I101" s="9"/>
      <c r="J101" s="9"/>
      <c r="K101" s="9"/>
      <c r="L101" s="9"/>
    </row>
    <row r="102" spans="1:12" ht="15" customHeight="1" x14ac:dyDescent="0.2">
      <c r="A102" s="2"/>
      <c r="B102" s="3"/>
      <c r="C102" s="2"/>
      <c r="D102" s="3"/>
      <c r="E102" s="3"/>
      <c r="F102" s="3"/>
      <c r="G102" s="3"/>
      <c r="H102" s="2"/>
      <c r="I102" s="3"/>
      <c r="J102" s="3"/>
      <c r="K102" s="3"/>
      <c r="L102" s="3"/>
    </row>
    <row r="103" spans="1:12" ht="15" customHeight="1" x14ac:dyDescent="0.2">
      <c r="A103" s="8"/>
      <c r="B103" s="9"/>
      <c r="C103" s="8"/>
      <c r="D103" s="9"/>
      <c r="E103" s="9"/>
      <c r="F103" s="9"/>
      <c r="G103" s="9"/>
      <c r="H103" s="8"/>
      <c r="I103" s="9"/>
      <c r="J103" s="9"/>
      <c r="K103" s="9"/>
      <c r="L103" s="9"/>
    </row>
    <row r="104" spans="1:12" ht="15" customHeight="1" x14ac:dyDescent="0.2">
      <c r="A104" s="2"/>
      <c r="B104" s="3"/>
      <c r="C104" s="2"/>
      <c r="D104" s="3"/>
      <c r="E104" s="3"/>
      <c r="F104" s="3"/>
      <c r="G104" s="3"/>
      <c r="H104" s="2"/>
      <c r="I104" s="3"/>
      <c r="J104" s="3"/>
      <c r="K104" s="3"/>
      <c r="L104" s="3"/>
    </row>
    <row r="105" spans="1:12" ht="15" customHeight="1" x14ac:dyDescent="0.2">
      <c r="A105" s="8"/>
      <c r="B105" s="9"/>
      <c r="C105" s="8"/>
      <c r="D105" s="9"/>
      <c r="E105" s="9"/>
      <c r="F105" s="9"/>
      <c r="G105" s="9"/>
      <c r="H105" s="8"/>
      <c r="I105" s="9"/>
      <c r="J105" s="9"/>
      <c r="K105" s="9"/>
      <c r="L105" s="9"/>
    </row>
    <row r="106" spans="1:12" ht="15" customHeight="1" x14ac:dyDescent="0.2">
      <c r="A106" s="2"/>
      <c r="B106" s="3"/>
      <c r="C106" s="2"/>
      <c r="D106" s="3"/>
      <c r="E106" s="3"/>
      <c r="F106" s="3"/>
      <c r="G106" s="3"/>
      <c r="H106" s="2"/>
      <c r="I106" s="3"/>
      <c r="J106" s="3"/>
      <c r="K106" s="3"/>
      <c r="L106" s="3"/>
    </row>
    <row r="107" spans="1:12" ht="15" customHeight="1" x14ac:dyDescent="0.2">
      <c r="A107" s="8"/>
      <c r="B107" s="9"/>
      <c r="C107" s="8"/>
      <c r="D107" s="9"/>
      <c r="E107" s="9"/>
      <c r="F107" s="9"/>
      <c r="G107" s="9"/>
      <c r="H107" s="8"/>
      <c r="I107" s="9"/>
      <c r="J107" s="9"/>
      <c r="K107" s="9"/>
      <c r="L107" s="9"/>
    </row>
    <row r="108" spans="1:12" ht="15" customHeight="1" x14ac:dyDescent="0.2">
      <c r="A108" s="2"/>
      <c r="B108" s="3"/>
      <c r="C108" s="2"/>
      <c r="D108" s="3"/>
      <c r="E108" s="3"/>
      <c r="F108" s="3"/>
      <c r="G108" s="3"/>
      <c r="H108" s="2"/>
      <c r="I108" s="3"/>
      <c r="J108" s="3"/>
      <c r="K108" s="3"/>
      <c r="L108" s="3"/>
    </row>
    <row r="109" spans="1:12" ht="15" customHeight="1" x14ac:dyDescent="0.2">
      <c r="A109" s="8"/>
      <c r="B109" s="9"/>
      <c r="C109" s="8"/>
      <c r="D109" s="9"/>
      <c r="E109" s="9"/>
      <c r="F109" s="9"/>
      <c r="G109" s="9"/>
      <c r="H109" s="8"/>
      <c r="I109" s="9"/>
      <c r="J109" s="9"/>
      <c r="K109" s="9"/>
      <c r="L109" s="9"/>
    </row>
    <row r="110" spans="1:12" ht="15" customHeight="1" x14ac:dyDescent="0.2">
      <c r="A110" s="2"/>
      <c r="B110" s="3"/>
      <c r="C110" s="2"/>
      <c r="D110" s="3"/>
      <c r="E110" s="3"/>
      <c r="F110" s="3"/>
      <c r="G110" s="3"/>
      <c r="H110" s="2"/>
      <c r="I110" s="3"/>
      <c r="J110" s="3"/>
      <c r="K110" s="3"/>
      <c r="L110" s="3"/>
    </row>
    <row r="111" spans="1:12" ht="15" customHeight="1" x14ac:dyDescent="0.2">
      <c r="A111" s="8"/>
      <c r="B111" s="9"/>
      <c r="C111" s="8"/>
      <c r="D111" s="9"/>
      <c r="E111" s="9"/>
      <c r="F111" s="9"/>
      <c r="G111" s="9"/>
      <c r="H111" s="8"/>
      <c r="I111" s="9"/>
      <c r="J111" s="9"/>
      <c r="K111" s="9"/>
      <c r="L111" s="9"/>
    </row>
    <row r="112" spans="1:12" ht="15" customHeight="1" x14ac:dyDescent="0.2">
      <c r="A112" s="2"/>
      <c r="B112" s="3"/>
      <c r="C112" s="2"/>
      <c r="D112" s="3"/>
      <c r="E112" s="3"/>
      <c r="F112" s="3"/>
      <c r="G112" s="3"/>
      <c r="H112" s="2"/>
      <c r="I112" s="3"/>
      <c r="J112" s="3"/>
      <c r="K112" s="3"/>
      <c r="L112" s="3"/>
    </row>
    <row r="113" spans="1:12" ht="15" customHeight="1" x14ac:dyDescent="0.2">
      <c r="A113" s="8"/>
      <c r="B113" s="9"/>
      <c r="C113" s="8"/>
      <c r="D113" s="9"/>
      <c r="E113" s="9"/>
      <c r="F113" s="9"/>
      <c r="G113" s="9"/>
      <c r="H113" s="8"/>
      <c r="I113" s="9"/>
      <c r="J113" s="9"/>
      <c r="K113" s="9"/>
      <c r="L113" s="9"/>
    </row>
    <row r="114" spans="1:12" ht="15" customHeight="1" x14ac:dyDescent="0.2">
      <c r="A114" s="2"/>
      <c r="B114" s="3"/>
      <c r="C114" s="2"/>
      <c r="D114" s="3"/>
      <c r="E114" s="3"/>
      <c r="F114" s="3"/>
      <c r="G114" s="3"/>
      <c r="H114" s="2"/>
      <c r="I114" s="3"/>
      <c r="J114" s="3"/>
      <c r="K114" s="3"/>
      <c r="L114" s="3"/>
    </row>
    <row r="115" spans="1:12" ht="15" customHeight="1" x14ac:dyDescent="0.2">
      <c r="A115" s="8"/>
      <c r="B115" s="9"/>
      <c r="C115" s="8"/>
      <c r="D115" s="9"/>
      <c r="E115" s="9"/>
      <c r="F115" s="9"/>
      <c r="G115" s="9"/>
      <c r="H115" s="8"/>
      <c r="I115" s="9"/>
      <c r="J115" s="9"/>
      <c r="K115" s="9"/>
      <c r="L115" s="9"/>
    </row>
    <row r="116" spans="1:12" ht="15" customHeight="1" x14ac:dyDescent="0.2">
      <c r="A116" s="2"/>
      <c r="B116" s="3"/>
      <c r="C116" s="2"/>
      <c r="D116" s="3"/>
      <c r="E116" s="3"/>
      <c r="F116" s="3"/>
      <c r="G116" s="3"/>
      <c r="H116" s="2"/>
      <c r="I116" s="3"/>
      <c r="J116" s="3"/>
      <c r="K116" s="3"/>
      <c r="L116" s="3"/>
    </row>
    <row r="117" spans="1:12" ht="15" customHeight="1" x14ac:dyDescent="0.2">
      <c r="A117" s="8"/>
      <c r="B117" s="9"/>
      <c r="C117" s="8"/>
      <c r="D117" s="9"/>
      <c r="E117" s="9"/>
      <c r="F117" s="9"/>
      <c r="G117" s="9"/>
      <c r="H117" s="8"/>
      <c r="I117" s="9"/>
      <c r="J117" s="9"/>
      <c r="K117" s="9"/>
      <c r="L117" s="9"/>
    </row>
    <row r="118" spans="1:12" ht="15" customHeight="1" x14ac:dyDescent="0.2">
      <c r="A118" s="2"/>
      <c r="B118" s="3"/>
      <c r="C118" s="2"/>
      <c r="D118" s="3"/>
      <c r="E118" s="3"/>
      <c r="F118" s="3"/>
      <c r="G118" s="3"/>
      <c r="H118" s="2"/>
      <c r="I118" s="3"/>
      <c r="J118" s="3"/>
      <c r="K118" s="3"/>
      <c r="L118" s="3"/>
    </row>
    <row r="119" spans="1:12" ht="15" customHeight="1" x14ac:dyDescent="0.2">
      <c r="A119" s="8"/>
      <c r="B119" s="9"/>
      <c r="C119" s="8"/>
      <c r="D119" s="9"/>
      <c r="E119" s="9"/>
      <c r="F119" s="9"/>
      <c r="G119" s="9"/>
      <c r="H119" s="8"/>
      <c r="I119" s="9"/>
      <c r="J119" s="9"/>
      <c r="K119" s="9"/>
      <c r="L119" s="9"/>
    </row>
    <row r="120" spans="1:12" ht="15" customHeight="1" x14ac:dyDescent="0.2">
      <c r="A120" s="2"/>
      <c r="B120" s="3"/>
      <c r="C120" s="2"/>
      <c r="D120" s="3"/>
      <c r="E120" s="3"/>
      <c r="F120" s="3"/>
      <c r="G120" s="3"/>
      <c r="H120" s="2"/>
      <c r="I120" s="3"/>
      <c r="J120" s="3"/>
      <c r="K120" s="3"/>
      <c r="L120" s="3"/>
    </row>
    <row r="121" spans="1:12" ht="15" customHeight="1" x14ac:dyDescent="0.2">
      <c r="A121" s="8"/>
      <c r="B121" s="9"/>
      <c r="C121" s="8"/>
      <c r="D121" s="9"/>
      <c r="E121" s="9"/>
      <c r="F121" s="9"/>
      <c r="G121" s="9"/>
      <c r="H121" s="8"/>
      <c r="I121" s="9"/>
      <c r="J121" s="9"/>
      <c r="K121" s="9"/>
      <c r="L121" s="9"/>
    </row>
    <row r="122" spans="1:12" ht="15" customHeight="1" x14ac:dyDescent="0.2">
      <c r="A122" s="2"/>
      <c r="B122" s="3"/>
      <c r="C122" s="2"/>
      <c r="D122" s="3"/>
      <c r="E122" s="3"/>
      <c r="F122" s="3"/>
      <c r="G122" s="3"/>
      <c r="H122" s="2"/>
      <c r="I122" s="3"/>
      <c r="J122" s="3"/>
      <c r="K122" s="3"/>
      <c r="L122" s="3"/>
    </row>
    <row r="123" spans="1:12" ht="15" customHeight="1" x14ac:dyDescent="0.2">
      <c r="A123" s="8"/>
      <c r="B123" s="9"/>
      <c r="C123" s="8"/>
      <c r="D123" s="9"/>
      <c r="E123" s="9"/>
      <c r="F123" s="9"/>
      <c r="G123" s="9"/>
      <c r="H123" s="8"/>
      <c r="I123" s="9"/>
      <c r="J123" s="9"/>
      <c r="K123" s="9"/>
      <c r="L123" s="9"/>
    </row>
    <row r="124" spans="1:12" ht="15" customHeight="1" x14ac:dyDescent="0.2">
      <c r="A124" s="2"/>
      <c r="B124" s="3"/>
      <c r="C124" s="2"/>
      <c r="D124" s="3"/>
      <c r="E124" s="3"/>
      <c r="F124" s="3"/>
      <c r="G124" s="3"/>
      <c r="H124" s="2"/>
      <c r="I124" s="3"/>
      <c r="J124" s="3"/>
      <c r="K124" s="3"/>
      <c r="L124" s="3"/>
    </row>
    <row r="125" spans="1:12" ht="15" customHeight="1" x14ac:dyDescent="0.2">
      <c r="A125" s="8"/>
      <c r="B125" s="9"/>
      <c r="C125" s="8"/>
      <c r="D125" s="9"/>
      <c r="E125" s="9"/>
      <c r="F125" s="9"/>
      <c r="G125" s="9"/>
      <c r="H125" s="8"/>
      <c r="I125" s="9"/>
      <c r="J125" s="9"/>
      <c r="K125" s="9"/>
      <c r="L125" s="9"/>
    </row>
    <row r="126" spans="1:12" ht="15" customHeight="1" x14ac:dyDescent="0.2">
      <c r="A126" s="2"/>
      <c r="B126" s="3"/>
      <c r="C126" s="2"/>
      <c r="D126" s="3"/>
      <c r="E126" s="3"/>
      <c r="F126" s="3"/>
      <c r="G126" s="3"/>
      <c r="H126" s="2"/>
      <c r="I126" s="3"/>
      <c r="J126" s="3"/>
      <c r="K126" s="3"/>
      <c r="L126" s="3"/>
    </row>
    <row r="127" spans="1:12" ht="15" customHeight="1" x14ac:dyDescent="0.2">
      <c r="A127" s="8"/>
      <c r="B127" s="9"/>
      <c r="C127" s="8"/>
      <c r="D127" s="9"/>
      <c r="E127" s="9"/>
      <c r="F127" s="9"/>
      <c r="G127" s="9"/>
      <c r="H127" s="8"/>
      <c r="I127" s="9"/>
      <c r="J127" s="9"/>
      <c r="K127" s="9"/>
      <c r="L127" s="9"/>
    </row>
    <row r="128" spans="1:12" ht="15" customHeight="1" x14ac:dyDescent="0.2">
      <c r="A128" s="2"/>
      <c r="B128" s="3"/>
      <c r="C128" s="2"/>
      <c r="D128" s="3"/>
      <c r="E128" s="3"/>
      <c r="F128" s="3"/>
      <c r="G128" s="3"/>
      <c r="H128" s="2"/>
      <c r="I128" s="3"/>
      <c r="J128" s="3"/>
      <c r="K128" s="3"/>
      <c r="L128" s="3"/>
    </row>
    <row r="129" spans="1:12" ht="15" customHeight="1" x14ac:dyDescent="0.2">
      <c r="A129" s="8"/>
      <c r="B129" s="9"/>
      <c r="C129" s="8"/>
      <c r="D129" s="9"/>
      <c r="E129" s="9"/>
      <c r="F129" s="9"/>
      <c r="G129" s="9"/>
      <c r="H129" s="8"/>
      <c r="I129" s="9"/>
      <c r="J129" s="9"/>
      <c r="K129" s="9"/>
      <c r="L129" s="9"/>
    </row>
    <row r="130" spans="1:12" ht="15" customHeight="1" x14ac:dyDescent="0.2">
      <c r="A130" s="2"/>
      <c r="B130" s="3"/>
      <c r="C130" s="2"/>
      <c r="D130" s="3"/>
      <c r="E130" s="3"/>
      <c r="F130" s="3"/>
      <c r="G130" s="3"/>
      <c r="H130" s="2"/>
      <c r="I130" s="3"/>
      <c r="J130" s="3"/>
      <c r="K130" s="3"/>
      <c r="L130" s="3"/>
    </row>
    <row r="131" spans="1:12" ht="15" customHeight="1" x14ac:dyDescent="0.2">
      <c r="A131" s="8"/>
      <c r="B131" s="9"/>
      <c r="C131" s="8"/>
      <c r="D131" s="9"/>
      <c r="E131" s="9"/>
      <c r="F131" s="9"/>
      <c r="G131" s="9"/>
      <c r="H131" s="8"/>
      <c r="I131" s="9"/>
      <c r="J131" s="9"/>
      <c r="K131" s="9"/>
      <c r="L131" s="9"/>
    </row>
    <row r="132" spans="1:12" ht="15" customHeight="1" x14ac:dyDescent="0.2">
      <c r="A132" s="2"/>
      <c r="B132" s="3"/>
      <c r="C132" s="2"/>
      <c r="D132" s="3"/>
      <c r="E132" s="3"/>
      <c r="F132" s="3"/>
      <c r="G132" s="3"/>
      <c r="H132" s="2"/>
      <c r="I132" s="3"/>
      <c r="J132" s="3"/>
      <c r="K132" s="3"/>
      <c r="L132" s="3"/>
    </row>
    <row r="133" spans="1:12" ht="15" customHeight="1" x14ac:dyDescent="0.2">
      <c r="A133" s="8"/>
      <c r="B133" s="9"/>
      <c r="C133" s="8"/>
      <c r="D133" s="9"/>
      <c r="E133" s="9"/>
      <c r="F133" s="9"/>
      <c r="G133" s="9"/>
      <c r="H133" s="8"/>
      <c r="I133" s="9"/>
      <c r="J133" s="9"/>
      <c r="K133" s="9"/>
      <c r="L133" s="9"/>
    </row>
    <row r="134" spans="1:12" ht="15" customHeight="1" x14ac:dyDescent="0.2">
      <c r="A134" s="2"/>
      <c r="B134" s="3"/>
      <c r="C134" s="2"/>
      <c r="D134" s="3"/>
      <c r="E134" s="3"/>
      <c r="F134" s="3"/>
      <c r="G134" s="3"/>
      <c r="H134" s="2"/>
      <c r="I134" s="3"/>
      <c r="J134" s="3"/>
      <c r="K134" s="3"/>
      <c r="L134" s="3"/>
    </row>
    <row r="135" spans="1:12" ht="15" customHeight="1" x14ac:dyDescent="0.2">
      <c r="A135" s="8"/>
      <c r="B135" s="9"/>
      <c r="C135" s="8"/>
      <c r="D135" s="9"/>
      <c r="E135" s="9"/>
      <c r="F135" s="9"/>
      <c r="G135" s="9"/>
      <c r="H135" s="8"/>
      <c r="I135" s="9"/>
      <c r="J135" s="9"/>
      <c r="K135" s="9"/>
      <c r="L135" s="9"/>
    </row>
    <row r="136" spans="1:12" ht="15" customHeight="1" x14ac:dyDescent="0.2">
      <c r="A136" s="2"/>
      <c r="B136" s="3"/>
      <c r="C136" s="2"/>
      <c r="D136" s="3"/>
      <c r="E136" s="3"/>
      <c r="F136" s="3"/>
      <c r="G136" s="3"/>
      <c r="H136" s="2"/>
      <c r="I136" s="3"/>
      <c r="J136" s="3"/>
      <c r="K136" s="3"/>
      <c r="L136" s="3"/>
    </row>
    <row r="137" spans="1:12" ht="15" customHeight="1" x14ac:dyDescent="0.2">
      <c r="A137" s="8"/>
      <c r="B137" s="9"/>
      <c r="C137" s="8"/>
      <c r="D137" s="9"/>
      <c r="E137" s="9"/>
      <c r="F137" s="9"/>
      <c r="G137" s="9"/>
      <c r="H137" s="8"/>
      <c r="I137" s="9"/>
      <c r="J137" s="9"/>
      <c r="K137" s="9"/>
      <c r="L137" s="9"/>
    </row>
    <row r="138" spans="1:12" ht="15" customHeight="1" x14ac:dyDescent="0.2">
      <c r="A138" s="2"/>
      <c r="B138" s="3"/>
      <c r="C138" s="2"/>
      <c r="D138" s="3"/>
      <c r="E138" s="3"/>
      <c r="F138" s="3"/>
      <c r="G138" s="3"/>
      <c r="H138" s="2"/>
      <c r="I138" s="3"/>
      <c r="J138" s="3"/>
      <c r="K138" s="3"/>
      <c r="L138" s="3"/>
    </row>
    <row r="139" spans="1:12" ht="15" customHeight="1" x14ac:dyDescent="0.2">
      <c r="A139" s="8"/>
      <c r="B139" s="9"/>
      <c r="C139" s="8"/>
      <c r="D139" s="9"/>
      <c r="E139" s="9"/>
      <c r="F139" s="9"/>
      <c r="G139" s="9"/>
      <c r="H139" s="8"/>
      <c r="I139" s="9"/>
      <c r="J139" s="9"/>
      <c r="K139" s="9"/>
      <c r="L139" s="9"/>
    </row>
    <row r="140" spans="1:12" ht="15" customHeight="1" x14ac:dyDescent="0.2">
      <c r="A140" s="2"/>
      <c r="B140" s="3"/>
      <c r="C140" s="2"/>
      <c r="D140" s="3"/>
      <c r="E140" s="3"/>
      <c r="F140" s="3"/>
      <c r="G140" s="3"/>
      <c r="H140" s="2"/>
      <c r="I140" s="3"/>
      <c r="J140" s="3"/>
      <c r="K140" s="3"/>
      <c r="L140" s="3"/>
    </row>
    <row r="141" spans="1:12" ht="15" customHeight="1" x14ac:dyDescent="0.2">
      <c r="A141" s="8"/>
      <c r="B141" s="9"/>
      <c r="C141" s="8"/>
      <c r="D141" s="9"/>
      <c r="E141" s="9"/>
      <c r="F141" s="9"/>
      <c r="G141" s="9"/>
      <c r="H141" s="8"/>
      <c r="I141" s="9"/>
      <c r="J141" s="9"/>
      <c r="K141" s="9"/>
      <c r="L141" s="9"/>
    </row>
    <row r="142" spans="1:12" ht="15" customHeight="1" x14ac:dyDescent="0.2">
      <c r="A142" s="2"/>
      <c r="B142" s="3"/>
      <c r="C142" s="2"/>
      <c r="D142" s="3"/>
      <c r="E142" s="3"/>
      <c r="F142" s="3"/>
      <c r="G142" s="3"/>
      <c r="H142" s="2"/>
      <c r="I142" s="3"/>
      <c r="J142" s="3"/>
      <c r="K142" s="3"/>
      <c r="L142" s="3"/>
    </row>
    <row r="143" spans="1:12" ht="15" customHeight="1" x14ac:dyDescent="0.2">
      <c r="A143" s="8"/>
      <c r="B143" s="9"/>
      <c r="C143" s="8"/>
      <c r="D143" s="9"/>
      <c r="E143" s="9"/>
      <c r="F143" s="9"/>
      <c r="G143" s="9"/>
      <c r="H143" s="8"/>
      <c r="I143" s="9"/>
      <c r="J143" s="9"/>
      <c r="K143" s="9"/>
      <c r="L143" s="9"/>
    </row>
    <row r="144" spans="1:12" ht="15" customHeight="1" x14ac:dyDescent="0.2">
      <c r="A144" s="2"/>
      <c r="B144" s="3"/>
      <c r="C144" s="2"/>
      <c r="D144" s="3"/>
      <c r="E144" s="3"/>
      <c r="F144" s="3"/>
      <c r="G144" s="3"/>
      <c r="H144" s="2"/>
      <c r="I144" s="3"/>
      <c r="J144" s="3"/>
      <c r="K144" s="3"/>
      <c r="L144" s="3"/>
    </row>
    <row r="145" spans="1:12" ht="15" customHeight="1" x14ac:dyDescent="0.2">
      <c r="A145" s="8"/>
      <c r="B145" s="9"/>
      <c r="C145" s="8"/>
      <c r="D145" s="9"/>
      <c r="E145" s="9"/>
      <c r="F145" s="9"/>
      <c r="G145" s="9"/>
      <c r="H145" s="8"/>
      <c r="I145" s="9"/>
      <c r="J145" s="9"/>
      <c r="K145" s="9"/>
      <c r="L145" s="9"/>
    </row>
    <row r="146" spans="1:12" ht="15" customHeight="1" x14ac:dyDescent="0.2">
      <c r="A146" s="2"/>
      <c r="B146" s="3"/>
      <c r="C146" s="2"/>
      <c r="D146" s="3"/>
      <c r="E146" s="3"/>
      <c r="F146" s="3"/>
      <c r="G146" s="3"/>
      <c r="H146" s="2"/>
      <c r="I146" s="3"/>
      <c r="J146" s="3"/>
      <c r="K146" s="3"/>
      <c r="L146" s="3"/>
    </row>
    <row r="147" spans="1:12" ht="15" customHeight="1" x14ac:dyDescent="0.2">
      <c r="A147" s="8"/>
      <c r="B147" s="9"/>
      <c r="C147" s="8"/>
      <c r="D147" s="9"/>
      <c r="E147" s="9"/>
      <c r="F147" s="9"/>
      <c r="G147" s="9"/>
      <c r="H147" s="8"/>
      <c r="I147" s="9"/>
      <c r="J147" s="9"/>
      <c r="K147" s="9"/>
      <c r="L147" s="9"/>
    </row>
    <row r="148" spans="1:12" ht="15" customHeight="1" x14ac:dyDescent="0.2">
      <c r="A148" s="2"/>
      <c r="B148" s="3"/>
      <c r="C148" s="2"/>
      <c r="D148" s="3"/>
      <c r="E148" s="3"/>
      <c r="F148" s="3"/>
      <c r="G148" s="3"/>
      <c r="H148" s="2"/>
      <c r="I148" s="3"/>
      <c r="J148" s="3"/>
      <c r="K148" s="3"/>
      <c r="L148" s="3"/>
    </row>
    <row r="149" spans="1:12" ht="15" customHeight="1" x14ac:dyDescent="0.2">
      <c r="A149" s="8"/>
      <c r="B149" s="9"/>
      <c r="C149" s="8"/>
      <c r="D149" s="9"/>
      <c r="E149" s="9"/>
      <c r="F149" s="9"/>
      <c r="G149" s="9"/>
      <c r="H149" s="8"/>
      <c r="I149" s="9"/>
      <c r="J149" s="9"/>
      <c r="K149" s="9"/>
      <c r="L149" s="9"/>
    </row>
    <row r="150" spans="1:12" ht="15" customHeight="1" x14ac:dyDescent="0.2">
      <c r="A150" s="2"/>
      <c r="B150" s="3"/>
      <c r="C150" s="2"/>
      <c r="D150" s="3"/>
      <c r="E150" s="3"/>
      <c r="F150" s="3"/>
      <c r="G150" s="3"/>
      <c r="H150" s="2"/>
      <c r="I150" s="3"/>
      <c r="J150" s="3"/>
      <c r="K150" s="3"/>
      <c r="L150" s="3"/>
    </row>
    <row r="151" spans="1:12" ht="15" customHeight="1" x14ac:dyDescent="0.2">
      <c r="A151" s="8"/>
      <c r="B151" s="9"/>
      <c r="C151" s="8"/>
      <c r="D151" s="9"/>
      <c r="E151" s="9"/>
      <c r="F151" s="9"/>
      <c r="G151" s="9"/>
      <c r="H151" s="8"/>
      <c r="I151" s="9"/>
      <c r="J151" s="9"/>
      <c r="K151" s="9"/>
      <c r="L151" s="9"/>
    </row>
    <row r="152" spans="1:12" ht="15" customHeight="1" x14ac:dyDescent="0.2">
      <c r="A152" s="2"/>
      <c r="B152" s="3"/>
      <c r="C152" s="2"/>
      <c r="D152" s="3"/>
      <c r="E152" s="3"/>
      <c r="F152" s="3"/>
      <c r="G152" s="3"/>
      <c r="H152" s="2"/>
      <c r="I152" s="3"/>
      <c r="J152" s="3"/>
      <c r="K152" s="3"/>
      <c r="L152" s="3"/>
    </row>
    <row r="153" spans="1:12" ht="15" customHeight="1" x14ac:dyDescent="0.2">
      <c r="A153" s="8"/>
      <c r="B153" s="9"/>
      <c r="C153" s="8"/>
      <c r="D153" s="9"/>
      <c r="E153" s="9"/>
      <c r="F153" s="9"/>
      <c r="G153" s="9"/>
      <c r="H153" s="8"/>
      <c r="I153" s="9"/>
      <c r="J153" s="9"/>
      <c r="K153" s="9"/>
      <c r="L153" s="9"/>
    </row>
    <row r="154" spans="1:12" ht="15" customHeight="1" x14ac:dyDescent="0.2">
      <c r="A154" s="2"/>
      <c r="B154" s="3"/>
      <c r="C154" s="2"/>
      <c r="D154" s="3"/>
      <c r="E154" s="3"/>
      <c r="F154" s="3"/>
      <c r="G154" s="3"/>
      <c r="H154" s="2"/>
      <c r="I154" s="3"/>
      <c r="J154" s="3"/>
      <c r="K154" s="3"/>
      <c r="L154" s="3"/>
    </row>
    <row r="155" spans="1:12" ht="15" customHeight="1" x14ac:dyDescent="0.2">
      <c r="A155" s="8"/>
      <c r="B155" s="9"/>
      <c r="C155" s="8"/>
      <c r="D155" s="9"/>
      <c r="E155" s="9"/>
      <c r="F155" s="9"/>
      <c r="G155" s="9"/>
      <c r="H155" s="8"/>
      <c r="I155" s="9"/>
      <c r="J155" s="9"/>
      <c r="K155" s="9"/>
      <c r="L155" s="9"/>
    </row>
    <row r="156" spans="1:12" ht="15" customHeight="1" x14ac:dyDescent="0.2">
      <c r="A156" s="2"/>
      <c r="B156" s="3"/>
      <c r="C156" s="2"/>
      <c r="D156" s="3"/>
      <c r="E156" s="3"/>
      <c r="F156" s="3"/>
      <c r="G156" s="3"/>
      <c r="H156" s="2"/>
      <c r="I156" s="3"/>
      <c r="J156" s="3"/>
      <c r="K156" s="3"/>
      <c r="L156" s="3"/>
    </row>
    <row r="157" spans="1:12" ht="15" customHeight="1" x14ac:dyDescent="0.2">
      <c r="A157" s="8"/>
      <c r="B157" s="9"/>
      <c r="C157" s="8"/>
      <c r="D157" s="9"/>
      <c r="E157" s="9"/>
      <c r="F157" s="9"/>
      <c r="G157" s="9"/>
      <c r="H157" s="8"/>
      <c r="I157" s="9"/>
      <c r="J157" s="9"/>
      <c r="K157" s="9"/>
      <c r="L157" s="9"/>
    </row>
    <row r="158" spans="1:12" ht="15" customHeight="1" x14ac:dyDescent="0.2">
      <c r="A158" s="2"/>
      <c r="B158" s="3"/>
      <c r="C158" s="2"/>
      <c r="D158" s="3"/>
      <c r="E158" s="3"/>
      <c r="F158" s="3"/>
      <c r="G158" s="3"/>
      <c r="H158" s="2"/>
      <c r="I158" s="3"/>
      <c r="J158" s="3"/>
      <c r="K158" s="3"/>
      <c r="L158" s="3"/>
    </row>
    <row r="159" spans="1:12" ht="15" customHeight="1" x14ac:dyDescent="0.2">
      <c r="A159" s="8"/>
      <c r="B159" s="9"/>
      <c r="C159" s="8"/>
      <c r="D159" s="9"/>
      <c r="E159" s="9"/>
      <c r="F159" s="9"/>
      <c r="G159" s="9"/>
      <c r="H159" s="8"/>
      <c r="I159" s="9"/>
      <c r="J159" s="9"/>
      <c r="K159" s="9"/>
      <c r="L159" s="9"/>
    </row>
    <row r="160" spans="1:12" ht="15" customHeight="1" x14ac:dyDescent="0.2">
      <c r="A160" s="2"/>
      <c r="B160" s="3"/>
      <c r="C160" s="2"/>
      <c r="D160" s="3"/>
      <c r="E160" s="3"/>
      <c r="F160" s="3"/>
      <c r="G160" s="3"/>
      <c r="H160" s="2"/>
      <c r="I160" s="3"/>
      <c r="J160" s="3"/>
      <c r="K160" s="3"/>
      <c r="L160" s="3"/>
    </row>
    <row r="161" spans="1:12" ht="15" customHeight="1" x14ac:dyDescent="0.2">
      <c r="A161" s="8"/>
      <c r="B161" s="9"/>
      <c r="C161" s="8"/>
      <c r="D161" s="9"/>
      <c r="E161" s="9"/>
      <c r="F161" s="9"/>
      <c r="G161" s="9"/>
      <c r="H161" s="8"/>
      <c r="I161" s="9"/>
      <c r="J161" s="9"/>
      <c r="K161" s="9"/>
      <c r="L161" s="9"/>
    </row>
    <row r="162" spans="1:12" ht="15" customHeight="1" x14ac:dyDescent="0.2">
      <c r="A162" s="2"/>
      <c r="B162" s="3"/>
      <c r="C162" s="2"/>
      <c r="D162" s="3"/>
      <c r="E162" s="3"/>
      <c r="F162" s="3"/>
      <c r="G162" s="3"/>
      <c r="H162" s="2"/>
      <c r="I162" s="3"/>
      <c r="J162" s="3"/>
      <c r="K162" s="3"/>
      <c r="L162" s="3"/>
    </row>
    <row r="163" spans="1:12" ht="15" customHeight="1" x14ac:dyDescent="0.2">
      <c r="A163" s="8"/>
      <c r="B163" s="9"/>
      <c r="C163" s="8"/>
      <c r="D163" s="9"/>
      <c r="E163" s="9"/>
      <c r="F163" s="9"/>
      <c r="G163" s="9"/>
      <c r="H163" s="8"/>
      <c r="I163" s="9"/>
      <c r="J163" s="9"/>
      <c r="K163" s="9"/>
      <c r="L163" s="9"/>
    </row>
    <row r="164" spans="1:12" ht="15" customHeight="1" x14ac:dyDescent="0.2">
      <c r="A164" s="2"/>
      <c r="B164" s="3"/>
      <c r="C164" s="2"/>
      <c r="D164" s="3"/>
      <c r="E164" s="3"/>
      <c r="F164" s="3"/>
      <c r="G164" s="3"/>
      <c r="H164" s="2"/>
      <c r="I164" s="3"/>
      <c r="J164" s="3"/>
      <c r="K164" s="3"/>
      <c r="L164" s="3"/>
    </row>
    <row r="165" spans="1:12" ht="15" customHeight="1" x14ac:dyDescent="0.2">
      <c r="A165" s="8"/>
      <c r="B165" s="9"/>
      <c r="C165" s="8"/>
      <c r="D165" s="9"/>
      <c r="E165" s="9"/>
      <c r="F165" s="9"/>
      <c r="G165" s="9"/>
      <c r="H165" s="8"/>
      <c r="I165" s="9"/>
      <c r="J165" s="9"/>
      <c r="K165" s="9"/>
      <c r="L165" s="9"/>
    </row>
    <row r="166" spans="1:12" ht="15" customHeight="1" x14ac:dyDescent="0.2">
      <c r="A166" s="2"/>
      <c r="B166" s="3"/>
      <c r="C166" s="2"/>
      <c r="D166" s="3"/>
      <c r="E166" s="3"/>
      <c r="F166" s="3"/>
      <c r="G166" s="3"/>
      <c r="H166" s="2"/>
      <c r="I166" s="3"/>
      <c r="J166" s="3"/>
      <c r="K166" s="3"/>
      <c r="L166" s="3"/>
    </row>
    <row r="167" spans="1:12" ht="15" customHeight="1" x14ac:dyDescent="0.2">
      <c r="A167" s="8"/>
      <c r="B167" s="9"/>
      <c r="C167" s="8"/>
      <c r="D167" s="9"/>
      <c r="E167" s="9"/>
      <c r="F167" s="9"/>
      <c r="G167" s="9"/>
      <c r="H167" s="8"/>
      <c r="I167" s="9"/>
      <c r="J167" s="9"/>
      <c r="K167" s="9"/>
      <c r="L167" s="9"/>
    </row>
    <row r="168" spans="1:12" ht="15" customHeight="1" x14ac:dyDescent="0.2">
      <c r="A168" s="2"/>
      <c r="B168" s="3"/>
      <c r="C168" s="2"/>
      <c r="D168" s="3"/>
      <c r="E168" s="3"/>
      <c r="F168" s="3"/>
      <c r="G168" s="3"/>
      <c r="H168" s="2"/>
      <c r="I168" s="3"/>
      <c r="J168" s="3"/>
      <c r="K168" s="3"/>
      <c r="L168" s="3"/>
    </row>
    <row r="169" spans="1:12" ht="15" customHeight="1" x14ac:dyDescent="0.2">
      <c r="A169" s="8"/>
      <c r="B169" s="9"/>
      <c r="C169" s="8"/>
      <c r="D169" s="9"/>
      <c r="E169" s="9"/>
      <c r="F169" s="9"/>
      <c r="G169" s="9"/>
      <c r="H169" s="8"/>
      <c r="I169" s="9"/>
      <c r="J169" s="9"/>
      <c r="K169" s="9"/>
      <c r="L169" s="9"/>
    </row>
    <row r="170" spans="1:12" ht="15" customHeight="1" x14ac:dyDescent="0.2">
      <c r="A170" s="2"/>
      <c r="B170" s="3"/>
      <c r="C170" s="2"/>
      <c r="D170" s="3"/>
      <c r="E170" s="3"/>
      <c r="F170" s="3"/>
      <c r="G170" s="3"/>
      <c r="H170" s="2"/>
      <c r="I170" s="3"/>
      <c r="J170" s="3"/>
      <c r="K170" s="3"/>
      <c r="L170" s="3"/>
    </row>
    <row r="171" spans="1:12" ht="15" customHeight="1" x14ac:dyDescent="0.2">
      <c r="A171" s="8"/>
      <c r="B171" s="9"/>
      <c r="C171" s="8"/>
      <c r="D171" s="9"/>
      <c r="E171" s="9"/>
      <c r="F171" s="9"/>
      <c r="G171" s="9"/>
      <c r="H171" s="8"/>
      <c r="I171" s="9"/>
      <c r="J171" s="9"/>
      <c r="K171" s="9"/>
      <c r="L171" s="9"/>
    </row>
    <row r="172" spans="1:12" ht="15" customHeight="1" x14ac:dyDescent="0.2">
      <c r="A172" s="2"/>
      <c r="B172" s="3"/>
      <c r="C172" s="2"/>
      <c r="D172" s="3"/>
      <c r="E172" s="3"/>
      <c r="F172" s="3"/>
      <c r="G172" s="3"/>
      <c r="H172" s="2"/>
      <c r="I172" s="3"/>
      <c r="J172" s="3"/>
      <c r="K172" s="3"/>
      <c r="L172" s="3"/>
    </row>
    <row r="173" spans="1:12" ht="15" customHeight="1" x14ac:dyDescent="0.2">
      <c r="A173" s="8"/>
      <c r="B173" s="9"/>
      <c r="C173" s="8"/>
      <c r="D173" s="9"/>
      <c r="E173" s="9"/>
      <c r="F173" s="9"/>
      <c r="G173" s="9"/>
      <c r="H173" s="8"/>
      <c r="I173" s="9"/>
      <c r="J173" s="9"/>
      <c r="K173" s="9"/>
      <c r="L173" s="9"/>
    </row>
    <row r="174" spans="1:12" ht="15" customHeight="1" x14ac:dyDescent="0.2">
      <c r="A174" s="2"/>
      <c r="B174" s="3"/>
      <c r="C174" s="2"/>
      <c r="D174" s="3"/>
      <c r="E174" s="3"/>
      <c r="F174" s="3"/>
      <c r="G174" s="3"/>
      <c r="H174" s="2"/>
      <c r="I174" s="3"/>
      <c r="J174" s="3"/>
      <c r="K174" s="3"/>
      <c r="L174" s="3"/>
    </row>
    <row r="175" spans="1:12" ht="15" customHeight="1" x14ac:dyDescent="0.2">
      <c r="A175" s="8"/>
      <c r="B175" s="9"/>
      <c r="C175" s="8"/>
      <c r="D175" s="9"/>
      <c r="E175" s="9"/>
      <c r="F175" s="9"/>
      <c r="G175" s="9"/>
      <c r="H175" s="8"/>
      <c r="I175" s="9"/>
      <c r="J175" s="9"/>
      <c r="K175" s="9"/>
      <c r="L175" s="9"/>
    </row>
    <row r="176" spans="1:12" ht="15" customHeight="1" x14ac:dyDescent="0.2">
      <c r="A176" s="2"/>
      <c r="B176" s="3"/>
      <c r="C176" s="2"/>
      <c r="D176" s="3"/>
      <c r="E176" s="3"/>
      <c r="F176" s="3"/>
      <c r="G176" s="3"/>
      <c r="H176" s="2"/>
      <c r="I176" s="3"/>
      <c r="J176" s="3"/>
      <c r="K176" s="3"/>
      <c r="L176" s="3"/>
    </row>
    <row r="177" spans="1:12" ht="15" customHeight="1" x14ac:dyDescent="0.2">
      <c r="A177" s="8"/>
      <c r="B177" s="9"/>
      <c r="C177" s="8"/>
      <c r="D177" s="9"/>
      <c r="E177" s="9"/>
      <c r="F177" s="9"/>
      <c r="G177" s="9"/>
      <c r="H177" s="8"/>
      <c r="I177" s="9"/>
      <c r="J177" s="9"/>
      <c r="K177" s="9"/>
      <c r="L177" s="9"/>
    </row>
    <row r="178" spans="1:12" ht="15" customHeight="1" x14ac:dyDescent="0.2">
      <c r="A178" s="2"/>
      <c r="B178" s="3"/>
      <c r="C178" s="2"/>
      <c r="D178" s="3"/>
      <c r="E178" s="3"/>
      <c r="F178" s="3"/>
      <c r="G178" s="3"/>
      <c r="H178" s="2"/>
      <c r="I178" s="3"/>
      <c r="J178" s="3"/>
      <c r="K178" s="3"/>
      <c r="L178" s="3"/>
    </row>
    <row r="179" spans="1:12" ht="15" customHeight="1" x14ac:dyDescent="0.2">
      <c r="A179" s="8"/>
      <c r="B179" s="9"/>
      <c r="C179" s="8"/>
      <c r="D179" s="9"/>
      <c r="E179" s="9"/>
      <c r="F179" s="9"/>
      <c r="G179" s="9"/>
      <c r="H179" s="8"/>
      <c r="I179" s="9"/>
      <c r="J179" s="9"/>
      <c r="K179" s="9"/>
      <c r="L179" s="9"/>
    </row>
    <row r="180" spans="1:12" ht="15" customHeight="1" x14ac:dyDescent="0.2">
      <c r="A180" s="2"/>
      <c r="B180" s="3"/>
      <c r="C180" s="2"/>
      <c r="D180" s="3"/>
      <c r="E180" s="3"/>
      <c r="F180" s="3"/>
      <c r="G180" s="3"/>
      <c r="H180" s="2"/>
      <c r="I180" s="3"/>
      <c r="J180" s="3"/>
      <c r="K180" s="3"/>
      <c r="L180" s="3"/>
    </row>
    <row r="181" spans="1:12" ht="15" customHeight="1" x14ac:dyDescent="0.2">
      <c r="A181" s="8"/>
      <c r="B181" s="9"/>
      <c r="C181" s="8"/>
      <c r="D181" s="9"/>
      <c r="E181" s="9"/>
      <c r="F181" s="9"/>
      <c r="G181" s="9"/>
      <c r="H181" s="8"/>
      <c r="I181" s="9"/>
      <c r="J181" s="9"/>
      <c r="K181" s="9"/>
      <c r="L181" s="9"/>
    </row>
    <row r="182" spans="1:12" ht="15" customHeight="1" x14ac:dyDescent="0.2">
      <c r="A182" s="2"/>
      <c r="B182" s="3"/>
      <c r="C182" s="2"/>
      <c r="D182" s="3"/>
      <c r="E182" s="3"/>
      <c r="F182" s="3"/>
      <c r="G182" s="3"/>
      <c r="H182" s="2"/>
      <c r="I182" s="3"/>
      <c r="J182" s="3"/>
      <c r="K182" s="3"/>
      <c r="L182" s="3"/>
    </row>
    <row r="183" spans="1:12" ht="15" customHeight="1" x14ac:dyDescent="0.2">
      <c r="A183" s="8"/>
      <c r="B183" s="9"/>
      <c r="C183" s="8"/>
      <c r="D183" s="9"/>
      <c r="E183" s="9"/>
      <c r="F183" s="9"/>
      <c r="G183" s="9"/>
      <c r="H183" s="8"/>
      <c r="I183" s="9"/>
      <c r="J183" s="9"/>
      <c r="K183" s="9"/>
      <c r="L183" s="9"/>
    </row>
    <row r="184" spans="1:12" ht="15" customHeight="1" x14ac:dyDescent="0.2">
      <c r="A184" s="2"/>
      <c r="B184" s="3"/>
      <c r="C184" s="2"/>
      <c r="D184" s="3"/>
      <c r="E184" s="3"/>
      <c r="F184" s="3"/>
      <c r="G184" s="3"/>
      <c r="H184" s="2"/>
      <c r="I184" s="3"/>
      <c r="J184" s="3"/>
      <c r="K184" s="3"/>
      <c r="L184" s="3"/>
    </row>
    <row r="185" spans="1:12" ht="15" customHeight="1" x14ac:dyDescent="0.2">
      <c r="A185" s="8"/>
      <c r="B185" s="9"/>
      <c r="C185" s="8"/>
      <c r="D185" s="9"/>
      <c r="E185" s="9"/>
      <c r="F185" s="9"/>
      <c r="G185" s="9"/>
      <c r="H185" s="8"/>
      <c r="I185" s="9"/>
      <c r="J185" s="9"/>
      <c r="K185" s="9"/>
      <c r="L185" s="9"/>
    </row>
    <row r="186" spans="1:12" ht="15" customHeight="1" x14ac:dyDescent="0.2">
      <c r="A186" s="2"/>
      <c r="B186" s="3"/>
      <c r="C186" s="2"/>
      <c r="D186" s="3"/>
      <c r="E186" s="3"/>
      <c r="F186" s="3"/>
      <c r="G186" s="3"/>
      <c r="H186" s="2"/>
      <c r="I186" s="3"/>
      <c r="J186" s="3"/>
      <c r="K186" s="3"/>
      <c r="L186" s="3"/>
    </row>
    <row r="187" spans="1:12" ht="15" customHeight="1" x14ac:dyDescent="0.2">
      <c r="A187" s="8"/>
      <c r="B187" s="9"/>
      <c r="C187" s="8"/>
      <c r="D187" s="9"/>
      <c r="E187" s="9"/>
      <c r="F187" s="9"/>
      <c r="G187" s="9"/>
      <c r="H187" s="8"/>
      <c r="I187" s="9"/>
      <c r="J187" s="9"/>
      <c r="K187" s="9"/>
      <c r="L187" s="9"/>
    </row>
    <row r="188" spans="1:12" ht="15" customHeight="1" x14ac:dyDescent="0.2">
      <c r="A188" s="2"/>
      <c r="B188" s="3"/>
      <c r="C188" s="2"/>
      <c r="D188" s="3"/>
      <c r="E188" s="3"/>
      <c r="F188" s="3"/>
      <c r="G188" s="3"/>
      <c r="H188" s="2"/>
      <c r="I188" s="3"/>
      <c r="J188" s="3"/>
      <c r="K188" s="3"/>
      <c r="L188" s="3"/>
    </row>
    <row r="189" spans="1:12" ht="15" customHeight="1" x14ac:dyDescent="0.2">
      <c r="A189" s="8"/>
      <c r="B189" s="9"/>
      <c r="C189" s="8"/>
      <c r="D189" s="9"/>
      <c r="E189" s="9"/>
      <c r="F189" s="9"/>
      <c r="G189" s="9"/>
      <c r="H189" s="8"/>
      <c r="I189" s="9"/>
      <c r="J189" s="9"/>
      <c r="K189" s="9"/>
      <c r="L189" s="9"/>
    </row>
    <row r="190" spans="1:12" ht="15" customHeight="1" x14ac:dyDescent="0.2">
      <c r="A190" s="2"/>
      <c r="B190" s="3"/>
      <c r="C190" s="2"/>
      <c r="D190" s="3"/>
      <c r="E190" s="3"/>
      <c r="F190" s="3"/>
      <c r="G190" s="3"/>
      <c r="H190" s="2"/>
      <c r="I190" s="3"/>
      <c r="J190" s="3"/>
      <c r="K190" s="3"/>
      <c r="L190" s="3"/>
    </row>
    <row r="191" spans="1:12" ht="15" customHeight="1" x14ac:dyDescent="0.2">
      <c r="A191" s="8"/>
      <c r="B191" s="9"/>
      <c r="C191" s="8"/>
      <c r="D191" s="9"/>
      <c r="E191" s="9"/>
      <c r="F191" s="9"/>
      <c r="G191" s="9"/>
      <c r="H191" s="8"/>
      <c r="I191" s="9"/>
      <c r="J191" s="9"/>
      <c r="K191" s="9"/>
      <c r="L191" s="9"/>
    </row>
    <row r="192" spans="1:12" ht="15" customHeight="1" x14ac:dyDescent="0.2">
      <c r="A192" s="2"/>
      <c r="B192" s="3"/>
      <c r="C192" s="2"/>
      <c r="D192" s="3"/>
      <c r="E192" s="3"/>
      <c r="F192" s="3"/>
      <c r="G192" s="3"/>
      <c r="H192" s="2"/>
      <c r="I192" s="3"/>
      <c r="J192" s="3"/>
      <c r="K192" s="3"/>
      <c r="L192" s="3"/>
    </row>
    <row r="193" spans="1:12" ht="15" customHeight="1" x14ac:dyDescent="0.2">
      <c r="A193" s="8"/>
      <c r="B193" s="9"/>
      <c r="C193" s="8"/>
      <c r="D193" s="9"/>
      <c r="E193" s="9"/>
      <c r="F193" s="9"/>
      <c r="G193" s="9"/>
      <c r="H193" s="8"/>
      <c r="I193" s="9"/>
      <c r="J193" s="9"/>
      <c r="K193" s="9"/>
      <c r="L193" s="9"/>
    </row>
    <row r="194" spans="1:12" ht="15" customHeight="1" x14ac:dyDescent="0.2">
      <c r="A194" s="2"/>
      <c r="B194" s="3"/>
      <c r="C194" s="2"/>
      <c r="D194" s="3"/>
      <c r="E194" s="3"/>
      <c r="F194" s="3"/>
      <c r="G194" s="3"/>
      <c r="H194" s="2"/>
      <c r="I194" s="3"/>
      <c r="J194" s="3"/>
      <c r="K194" s="3"/>
      <c r="L194" s="3"/>
    </row>
    <row r="195" spans="1:12" ht="15" customHeight="1" x14ac:dyDescent="0.2">
      <c r="A195" s="8"/>
      <c r="B195" s="9"/>
      <c r="C195" s="8"/>
      <c r="D195" s="9"/>
      <c r="E195" s="9"/>
      <c r="F195" s="9"/>
      <c r="G195" s="9"/>
      <c r="H195" s="8"/>
      <c r="I195" s="9"/>
      <c r="J195" s="9"/>
      <c r="K195" s="9"/>
      <c r="L195" s="9"/>
    </row>
    <row r="196" spans="1:12" ht="15" customHeight="1" x14ac:dyDescent="0.2">
      <c r="A196" s="2"/>
      <c r="B196" s="3"/>
      <c r="C196" s="2"/>
      <c r="D196" s="3"/>
      <c r="E196" s="3"/>
      <c r="F196" s="3"/>
      <c r="G196" s="3"/>
      <c r="H196" s="2"/>
      <c r="I196" s="3"/>
      <c r="J196" s="3"/>
      <c r="K196" s="3"/>
      <c r="L196" s="3"/>
    </row>
    <row r="197" spans="1:12" ht="15" customHeight="1" x14ac:dyDescent="0.2">
      <c r="A197" s="8"/>
      <c r="B197" s="9"/>
      <c r="C197" s="8"/>
      <c r="D197" s="9"/>
      <c r="E197" s="9"/>
      <c r="F197" s="9"/>
      <c r="G197" s="9"/>
      <c r="H197" s="8"/>
      <c r="I197" s="9"/>
      <c r="J197" s="9"/>
      <c r="K197" s="9"/>
      <c r="L197" s="9"/>
    </row>
    <row r="198" spans="1:12" ht="15" customHeight="1" x14ac:dyDescent="0.2">
      <c r="A198" s="2"/>
      <c r="B198" s="3"/>
      <c r="C198" s="2"/>
      <c r="D198" s="3"/>
      <c r="E198" s="3"/>
      <c r="F198" s="3"/>
      <c r="G198" s="3"/>
      <c r="H198" s="2"/>
      <c r="I198" s="3"/>
      <c r="J198" s="3"/>
      <c r="K198" s="3"/>
      <c r="L198" s="3"/>
    </row>
    <row r="199" spans="1:12" ht="15" customHeight="1" x14ac:dyDescent="0.2">
      <c r="A199" s="8"/>
      <c r="B199" s="9"/>
      <c r="C199" s="8"/>
      <c r="D199" s="9"/>
      <c r="E199" s="9"/>
      <c r="F199" s="9"/>
      <c r="G199" s="9"/>
      <c r="H199" s="8"/>
      <c r="I199" s="9"/>
      <c r="J199" s="9"/>
      <c r="K199" s="9"/>
      <c r="L199" s="9"/>
    </row>
    <row r="200" spans="1:12" ht="15" customHeight="1" x14ac:dyDescent="0.2">
      <c r="A200" s="2"/>
      <c r="B200" s="3"/>
      <c r="C200" s="2"/>
      <c r="D200" s="3"/>
      <c r="E200" s="3"/>
      <c r="F200" s="3"/>
      <c r="G200" s="3"/>
      <c r="H200" s="2"/>
      <c r="I200" s="3"/>
      <c r="J200" s="3"/>
      <c r="K200" s="3"/>
      <c r="L200" s="3"/>
    </row>
    <row r="201" spans="1:12" ht="15" customHeight="1" x14ac:dyDescent="0.2">
      <c r="A201" s="8"/>
      <c r="B201" s="9"/>
      <c r="C201" s="8"/>
      <c r="D201" s="9"/>
      <c r="E201" s="9"/>
      <c r="F201" s="9"/>
      <c r="G201" s="9"/>
      <c r="H201" s="8"/>
      <c r="I201" s="9"/>
      <c r="J201" s="9"/>
      <c r="K201" s="9"/>
      <c r="L201" s="9"/>
    </row>
    <row r="202" spans="1:12" ht="15" customHeight="1" x14ac:dyDescent="0.2">
      <c r="A202" s="2"/>
      <c r="B202" s="3"/>
      <c r="C202" s="2"/>
      <c r="D202" s="3"/>
      <c r="E202" s="3"/>
      <c r="F202" s="3"/>
      <c r="G202" s="3"/>
      <c r="H202" s="2"/>
      <c r="I202" s="3"/>
      <c r="J202" s="3"/>
      <c r="K202" s="3"/>
      <c r="L202" s="3"/>
    </row>
    <row r="203" spans="1:12" ht="15" customHeight="1" x14ac:dyDescent="0.2">
      <c r="A203" s="8"/>
      <c r="B203" s="9"/>
      <c r="C203" s="8"/>
      <c r="D203" s="9"/>
      <c r="E203" s="9"/>
      <c r="F203" s="9"/>
      <c r="G203" s="9"/>
      <c r="H203" s="8"/>
      <c r="I203" s="9"/>
      <c r="J203" s="9"/>
      <c r="K203" s="9"/>
      <c r="L203" s="9"/>
    </row>
    <row r="204" spans="1:12" ht="15" customHeight="1" x14ac:dyDescent="0.2">
      <c r="A204" s="2"/>
      <c r="B204" s="3"/>
      <c r="C204" s="2"/>
      <c r="D204" s="3"/>
      <c r="E204" s="3"/>
      <c r="F204" s="3"/>
      <c r="G204" s="3"/>
      <c r="H204" s="2"/>
      <c r="I204" s="3"/>
      <c r="J204" s="3"/>
      <c r="K204" s="3"/>
      <c r="L204" s="3"/>
    </row>
    <row r="205" spans="1:12" ht="15" customHeight="1" x14ac:dyDescent="0.2">
      <c r="A205" s="8"/>
      <c r="B205" s="9"/>
      <c r="C205" s="8"/>
      <c r="D205" s="9"/>
      <c r="E205" s="9"/>
      <c r="F205" s="9"/>
      <c r="G205" s="9"/>
      <c r="H205" s="8"/>
      <c r="I205" s="9"/>
      <c r="J205" s="9"/>
      <c r="K205" s="9"/>
      <c r="L205" s="9"/>
    </row>
    <row r="206" spans="1:12" ht="15" customHeight="1" x14ac:dyDescent="0.2">
      <c r="A206" s="2"/>
      <c r="B206" s="3"/>
      <c r="C206" s="2"/>
      <c r="D206" s="3"/>
      <c r="E206" s="3"/>
      <c r="F206" s="3"/>
      <c r="G206" s="3"/>
      <c r="H206" s="2"/>
      <c r="I206" s="3"/>
      <c r="J206" s="3"/>
      <c r="K206" s="3"/>
      <c r="L206" s="3"/>
    </row>
    <row r="207" spans="1:12" ht="15" customHeight="1" x14ac:dyDescent="0.2">
      <c r="A207" s="8"/>
      <c r="B207" s="9"/>
      <c r="C207" s="8"/>
      <c r="D207" s="9"/>
      <c r="E207" s="9"/>
      <c r="F207" s="9"/>
      <c r="G207" s="9"/>
      <c r="H207" s="8"/>
      <c r="I207" s="9"/>
      <c r="J207" s="9"/>
      <c r="K207" s="9"/>
      <c r="L207" s="9"/>
    </row>
    <row r="208" spans="1:12" ht="15" customHeight="1" x14ac:dyDescent="0.2">
      <c r="A208" s="2"/>
      <c r="B208" s="3"/>
      <c r="C208" s="2"/>
      <c r="D208" s="3"/>
      <c r="E208" s="3"/>
      <c r="F208" s="3"/>
      <c r="G208" s="3"/>
      <c r="H208" s="2"/>
      <c r="I208" s="3"/>
      <c r="J208" s="3"/>
      <c r="K208" s="3"/>
      <c r="L208" s="3"/>
    </row>
    <row r="209" spans="1:12" ht="15" customHeight="1" x14ac:dyDescent="0.2">
      <c r="A209" s="8"/>
      <c r="B209" s="9"/>
      <c r="C209" s="8"/>
      <c r="D209" s="9"/>
      <c r="E209" s="9"/>
      <c r="F209" s="9"/>
      <c r="G209" s="9"/>
      <c r="H209" s="8"/>
      <c r="I209" s="9"/>
      <c r="J209" s="9"/>
      <c r="K209" s="9"/>
      <c r="L209" s="9"/>
    </row>
    <row r="210" spans="1:12" ht="15" customHeight="1" x14ac:dyDescent="0.2">
      <c r="A210" s="2"/>
      <c r="B210" s="3"/>
      <c r="C210" s="2"/>
      <c r="D210" s="3"/>
      <c r="E210" s="3"/>
      <c r="F210" s="3"/>
      <c r="G210" s="3"/>
      <c r="H210" s="2"/>
      <c r="I210" s="3"/>
      <c r="J210" s="3"/>
      <c r="K210" s="3"/>
      <c r="L210" s="3"/>
    </row>
    <row r="211" spans="1:12" ht="15" customHeight="1" x14ac:dyDescent="0.2">
      <c r="A211" s="8"/>
      <c r="B211" s="9"/>
      <c r="C211" s="8"/>
      <c r="D211" s="9"/>
      <c r="E211" s="9"/>
      <c r="F211" s="9"/>
      <c r="G211" s="9"/>
      <c r="H211" s="8"/>
      <c r="I211" s="9"/>
      <c r="J211" s="9"/>
      <c r="K211" s="9"/>
      <c r="L211" s="9"/>
    </row>
    <row r="212" spans="1:12" ht="15" customHeight="1" x14ac:dyDescent="0.2">
      <c r="A212" s="2"/>
      <c r="B212" s="3"/>
      <c r="C212" s="2"/>
      <c r="D212" s="3"/>
      <c r="E212" s="3"/>
      <c r="F212" s="3"/>
      <c r="G212" s="3"/>
      <c r="H212" s="2"/>
      <c r="I212" s="3"/>
      <c r="J212" s="3"/>
      <c r="K212" s="3"/>
      <c r="L212" s="3"/>
    </row>
    <row r="213" spans="1:12" ht="15" customHeight="1" x14ac:dyDescent="0.2">
      <c r="A213" s="8"/>
      <c r="B213" s="9"/>
      <c r="C213" s="8"/>
      <c r="D213" s="9"/>
      <c r="E213" s="9"/>
      <c r="F213" s="9"/>
      <c r="G213" s="9"/>
      <c r="H213" s="8"/>
      <c r="I213" s="9"/>
      <c r="J213" s="9"/>
      <c r="K213" s="9"/>
      <c r="L213" s="9"/>
    </row>
    <row r="214" spans="1:12" ht="15" customHeight="1" x14ac:dyDescent="0.2">
      <c r="A214" s="2"/>
      <c r="B214" s="3"/>
      <c r="C214" s="2"/>
      <c r="D214" s="3"/>
      <c r="E214" s="3"/>
      <c r="F214" s="3"/>
      <c r="G214" s="3"/>
      <c r="H214" s="2"/>
      <c r="I214" s="3"/>
      <c r="J214" s="3"/>
      <c r="K214" s="3"/>
      <c r="L214" s="3"/>
    </row>
    <row r="215" spans="1:12" ht="15" customHeight="1" x14ac:dyDescent="0.2">
      <c r="A215" s="8"/>
      <c r="B215" s="9"/>
      <c r="C215" s="8"/>
      <c r="D215" s="9"/>
      <c r="E215" s="9"/>
      <c r="F215" s="9"/>
      <c r="G215" s="9"/>
      <c r="H215" s="8"/>
      <c r="I215" s="9"/>
      <c r="J215" s="9"/>
      <c r="K215" s="9"/>
      <c r="L215" s="9"/>
    </row>
    <row r="216" spans="1:12" ht="15" customHeight="1" x14ac:dyDescent="0.2">
      <c r="A216" s="2"/>
      <c r="B216" s="3"/>
      <c r="C216" s="2"/>
      <c r="D216" s="3"/>
      <c r="E216" s="3"/>
      <c r="F216" s="3"/>
      <c r="G216" s="3"/>
      <c r="H216" s="2"/>
      <c r="I216" s="3"/>
      <c r="J216" s="3"/>
      <c r="K216" s="3"/>
      <c r="L216" s="3"/>
    </row>
    <row r="217" spans="1:12" ht="15" customHeight="1" x14ac:dyDescent="0.2">
      <c r="A217" s="8"/>
      <c r="B217" s="9"/>
      <c r="C217" s="8"/>
      <c r="D217" s="9"/>
      <c r="E217" s="9"/>
      <c r="F217" s="9"/>
      <c r="G217" s="9"/>
      <c r="H217" s="8"/>
      <c r="I217" s="9"/>
      <c r="J217" s="9"/>
      <c r="K217" s="9"/>
      <c r="L217" s="9"/>
    </row>
    <row r="218" spans="1:12" ht="15" customHeight="1" x14ac:dyDescent="0.2">
      <c r="A218" s="2"/>
      <c r="B218" s="3"/>
      <c r="C218" s="2"/>
      <c r="D218" s="3"/>
      <c r="E218" s="3"/>
      <c r="F218" s="3"/>
      <c r="G218" s="3"/>
      <c r="H218" s="2"/>
      <c r="I218" s="3"/>
      <c r="J218" s="3"/>
      <c r="K218" s="3"/>
      <c r="L218" s="3"/>
    </row>
    <row r="219" spans="1:12" ht="15" customHeight="1" x14ac:dyDescent="0.2">
      <c r="A219" s="8"/>
      <c r="B219" s="9"/>
      <c r="C219" s="8"/>
      <c r="D219" s="9"/>
      <c r="E219" s="9"/>
      <c r="F219" s="9"/>
      <c r="G219" s="9"/>
      <c r="H219" s="8"/>
      <c r="I219" s="9"/>
      <c r="J219" s="9"/>
      <c r="K219" s="9"/>
      <c r="L219" s="9"/>
    </row>
    <row r="220" spans="1:12" ht="15" customHeight="1" x14ac:dyDescent="0.2">
      <c r="A220" s="2"/>
      <c r="B220" s="3"/>
      <c r="C220" s="2"/>
      <c r="D220" s="3"/>
      <c r="E220" s="3"/>
      <c r="F220" s="3"/>
      <c r="G220" s="3"/>
      <c r="H220" s="2"/>
      <c r="I220" s="3"/>
      <c r="J220" s="3"/>
      <c r="K220" s="3"/>
      <c r="L220" s="3"/>
    </row>
    <row r="221" spans="1:12" ht="15" customHeight="1" x14ac:dyDescent="0.2">
      <c r="A221" s="8"/>
      <c r="B221" s="9"/>
      <c r="C221" s="8"/>
      <c r="D221" s="9"/>
      <c r="E221" s="9"/>
      <c r="F221" s="9"/>
      <c r="G221" s="9"/>
      <c r="H221" s="8"/>
      <c r="I221" s="9"/>
      <c r="J221" s="9"/>
      <c r="K221" s="9"/>
      <c r="L221" s="9"/>
    </row>
    <row r="222" spans="1:12" ht="15" customHeight="1" x14ac:dyDescent="0.2">
      <c r="A222" s="2"/>
      <c r="B222" s="3"/>
      <c r="C222" s="2"/>
      <c r="D222" s="3"/>
      <c r="E222" s="3"/>
      <c r="F222" s="3"/>
      <c r="G222" s="3"/>
      <c r="H222" s="2"/>
      <c r="I222" s="3"/>
      <c r="J222" s="3"/>
      <c r="K222" s="3"/>
      <c r="L222" s="3"/>
    </row>
    <row r="223" spans="1:12" ht="15" customHeight="1" x14ac:dyDescent="0.2">
      <c r="A223" s="8"/>
      <c r="B223" s="9"/>
      <c r="C223" s="8"/>
      <c r="D223" s="9"/>
      <c r="E223" s="9"/>
      <c r="F223" s="9"/>
      <c r="G223" s="9"/>
      <c r="H223" s="8"/>
      <c r="I223" s="9"/>
      <c r="J223" s="9"/>
      <c r="K223" s="9"/>
      <c r="L223" s="9"/>
    </row>
    <row r="224" spans="1:12" ht="15" customHeight="1" x14ac:dyDescent="0.2">
      <c r="A224" s="2"/>
      <c r="B224" s="3"/>
      <c r="C224" s="2"/>
      <c r="D224" s="3"/>
      <c r="E224" s="3"/>
      <c r="F224" s="3"/>
      <c r="G224" s="3"/>
      <c r="H224" s="2"/>
      <c r="I224" s="3"/>
      <c r="J224" s="3"/>
      <c r="K224" s="3"/>
      <c r="L224" s="3"/>
    </row>
    <row r="225" spans="1:12" ht="15" customHeight="1" x14ac:dyDescent="0.2">
      <c r="A225" s="8"/>
      <c r="B225" s="9"/>
      <c r="C225" s="8"/>
      <c r="D225" s="9"/>
      <c r="E225" s="9"/>
      <c r="F225" s="9"/>
      <c r="G225" s="9"/>
      <c r="H225" s="8"/>
      <c r="I225" s="9"/>
      <c r="J225" s="9"/>
      <c r="K225" s="9"/>
      <c r="L225" s="9"/>
    </row>
    <row r="226" spans="1:12" ht="15" customHeight="1" x14ac:dyDescent="0.2">
      <c r="A226" s="2"/>
      <c r="B226" s="3"/>
      <c r="C226" s="2"/>
      <c r="D226" s="3"/>
      <c r="E226" s="3"/>
      <c r="F226" s="3"/>
      <c r="G226" s="3"/>
      <c r="H226" s="2"/>
      <c r="I226" s="3"/>
      <c r="J226" s="3"/>
      <c r="K226" s="3"/>
      <c r="L226" s="3"/>
    </row>
    <row r="227" spans="1:12" ht="15" customHeight="1" x14ac:dyDescent="0.2">
      <c r="A227" s="8"/>
      <c r="B227" s="9"/>
      <c r="C227" s="8"/>
      <c r="D227" s="9"/>
      <c r="E227" s="9"/>
      <c r="F227" s="9"/>
      <c r="G227" s="9"/>
      <c r="H227" s="8"/>
      <c r="I227" s="9"/>
      <c r="J227" s="9"/>
      <c r="K227" s="9"/>
      <c r="L227" s="9"/>
    </row>
    <row r="228" spans="1:12" ht="15" customHeight="1" x14ac:dyDescent="0.2">
      <c r="A228" s="2"/>
      <c r="B228" s="3"/>
      <c r="C228" s="2"/>
      <c r="D228" s="3"/>
      <c r="E228" s="3"/>
      <c r="F228" s="3"/>
      <c r="G228" s="3"/>
      <c r="H228" s="2"/>
      <c r="I228" s="3"/>
      <c r="J228" s="3"/>
      <c r="K228" s="3"/>
      <c r="L228" s="3"/>
    </row>
    <row r="229" spans="1:12" ht="15" customHeight="1" x14ac:dyDescent="0.2">
      <c r="A229" s="8"/>
      <c r="B229" s="9"/>
      <c r="C229" s="8"/>
      <c r="D229" s="9"/>
      <c r="E229" s="9"/>
      <c r="F229" s="9"/>
      <c r="G229" s="9"/>
      <c r="H229" s="8"/>
      <c r="I229" s="9"/>
      <c r="J229" s="9"/>
      <c r="K229" s="9"/>
      <c r="L229" s="9"/>
    </row>
    <row r="230" spans="1:12" ht="15" customHeight="1" x14ac:dyDescent="0.2">
      <c r="A230" s="2"/>
      <c r="B230" s="3"/>
      <c r="C230" s="2"/>
      <c r="D230" s="3"/>
      <c r="E230" s="3"/>
      <c r="F230" s="3"/>
      <c r="G230" s="3"/>
      <c r="H230" s="2"/>
      <c r="I230" s="3"/>
      <c r="J230" s="3"/>
      <c r="K230" s="3"/>
      <c r="L230" s="3"/>
    </row>
    <row r="231" spans="1:12" ht="15" customHeight="1" x14ac:dyDescent="0.2">
      <c r="A231" s="8"/>
      <c r="B231" s="9"/>
      <c r="C231" s="8"/>
      <c r="D231" s="9"/>
      <c r="E231" s="9"/>
      <c r="F231" s="9"/>
      <c r="G231" s="9"/>
      <c r="H231" s="8"/>
      <c r="I231" s="9"/>
      <c r="J231" s="9"/>
      <c r="K231" s="9"/>
      <c r="L231" s="9"/>
    </row>
    <row r="232" spans="1:12" ht="15" customHeight="1" x14ac:dyDescent="0.2">
      <c r="A232" s="2"/>
      <c r="B232" s="3"/>
      <c r="C232" s="2"/>
      <c r="D232" s="3"/>
      <c r="E232" s="3"/>
      <c r="F232" s="3"/>
      <c r="G232" s="3"/>
      <c r="H232" s="2"/>
      <c r="I232" s="3"/>
      <c r="J232" s="3"/>
      <c r="K232" s="3"/>
      <c r="L232" s="3"/>
    </row>
    <row r="233" spans="1:12" ht="15" customHeight="1" x14ac:dyDescent="0.2">
      <c r="A233" s="8"/>
      <c r="B233" s="9"/>
      <c r="C233" s="8"/>
      <c r="D233" s="9"/>
      <c r="E233" s="9"/>
      <c r="F233" s="9"/>
      <c r="G233" s="9"/>
      <c r="H233" s="8"/>
      <c r="I233" s="9"/>
      <c r="J233" s="9"/>
      <c r="K233" s="9"/>
      <c r="L233" s="9"/>
    </row>
    <row r="234" spans="1:12" ht="15" customHeight="1" x14ac:dyDescent="0.2">
      <c r="A234" s="2"/>
      <c r="B234" s="3"/>
      <c r="C234" s="2"/>
      <c r="D234" s="3"/>
      <c r="E234" s="3"/>
      <c r="F234" s="3"/>
      <c r="G234" s="3"/>
      <c r="H234" s="2"/>
      <c r="I234" s="3"/>
      <c r="J234" s="3"/>
      <c r="K234" s="3"/>
      <c r="L234" s="3"/>
    </row>
    <row r="235" spans="1:12" ht="15" customHeight="1" x14ac:dyDescent="0.2">
      <c r="A235" s="8"/>
      <c r="B235" s="9"/>
      <c r="C235" s="8"/>
      <c r="D235" s="9"/>
      <c r="E235" s="9"/>
      <c r="F235" s="9"/>
      <c r="G235" s="9"/>
      <c r="H235" s="8"/>
      <c r="I235" s="9"/>
      <c r="J235" s="9"/>
      <c r="K235" s="9"/>
      <c r="L235" s="9"/>
    </row>
    <row r="236" spans="1:12" ht="15" customHeight="1" x14ac:dyDescent="0.2">
      <c r="A236" s="2"/>
      <c r="B236" s="3"/>
      <c r="C236" s="2"/>
      <c r="D236" s="3"/>
      <c r="E236" s="3"/>
      <c r="F236" s="3"/>
      <c r="G236" s="3"/>
      <c r="H236" s="2"/>
      <c r="I236" s="3"/>
      <c r="J236" s="3"/>
      <c r="K236" s="3"/>
      <c r="L236" s="3"/>
    </row>
    <row r="237" spans="1:12" ht="15" customHeight="1" x14ac:dyDescent="0.2">
      <c r="A237" s="8"/>
      <c r="B237" s="9"/>
      <c r="C237" s="8"/>
      <c r="D237" s="9"/>
      <c r="E237" s="9"/>
      <c r="F237" s="9"/>
      <c r="G237" s="9"/>
      <c r="H237" s="8"/>
      <c r="I237" s="9"/>
      <c r="J237" s="9"/>
      <c r="K237" s="9"/>
      <c r="L237" s="9"/>
    </row>
    <row r="238" spans="1:12" ht="15" customHeight="1" x14ac:dyDescent="0.2">
      <c r="A238" s="2"/>
      <c r="B238" s="3"/>
      <c r="C238" s="2"/>
      <c r="D238" s="3"/>
      <c r="E238" s="3"/>
      <c r="F238" s="3"/>
      <c r="G238" s="3"/>
      <c r="H238" s="2"/>
      <c r="I238" s="3"/>
      <c r="J238" s="3"/>
      <c r="K238" s="3"/>
      <c r="L238" s="3"/>
    </row>
    <row r="239" spans="1:12" ht="15" customHeight="1" x14ac:dyDescent="0.2">
      <c r="A239" s="8"/>
      <c r="B239" s="9"/>
      <c r="C239" s="8"/>
      <c r="D239" s="9"/>
      <c r="E239" s="9"/>
      <c r="F239" s="9"/>
      <c r="G239" s="9"/>
      <c r="H239" s="8"/>
      <c r="I239" s="9"/>
      <c r="J239" s="9"/>
      <c r="K239" s="9"/>
      <c r="L239" s="9"/>
    </row>
    <row r="240" spans="1:12" ht="15" customHeight="1" x14ac:dyDescent="0.2">
      <c r="A240" s="2"/>
      <c r="B240" s="3"/>
      <c r="C240" s="2"/>
      <c r="D240" s="3"/>
      <c r="E240" s="3"/>
      <c r="F240" s="3"/>
      <c r="G240" s="3"/>
      <c r="H240" s="2"/>
      <c r="I240" s="3"/>
      <c r="J240" s="3"/>
      <c r="K240" s="3"/>
      <c r="L240" s="3"/>
    </row>
    <row r="241" spans="1:12" ht="15" customHeight="1" x14ac:dyDescent="0.2">
      <c r="A241" s="8"/>
      <c r="B241" s="9"/>
      <c r="C241" s="8"/>
      <c r="D241" s="9"/>
      <c r="E241" s="9"/>
      <c r="F241" s="9"/>
      <c r="G241" s="9"/>
      <c r="H241" s="8"/>
      <c r="I241" s="9"/>
      <c r="J241" s="9"/>
      <c r="K241" s="9"/>
      <c r="L241" s="9"/>
    </row>
    <row r="242" spans="1:12" ht="15" customHeight="1" x14ac:dyDescent="0.2">
      <c r="A242" s="2"/>
      <c r="B242" s="3"/>
      <c r="C242" s="2"/>
      <c r="D242" s="3"/>
      <c r="E242" s="3"/>
      <c r="F242" s="3"/>
      <c r="G242" s="3"/>
      <c r="H242" s="2"/>
      <c r="I242" s="3"/>
      <c r="J242" s="3"/>
      <c r="K242" s="3"/>
      <c r="L242" s="3"/>
    </row>
    <row r="243" spans="1:12" ht="15" customHeight="1" x14ac:dyDescent="0.2">
      <c r="A243" s="8"/>
      <c r="B243" s="9"/>
      <c r="C243" s="8"/>
      <c r="D243" s="9"/>
      <c r="E243" s="9"/>
      <c r="F243" s="9"/>
      <c r="G243" s="9"/>
      <c r="H243" s="8"/>
      <c r="I243" s="9"/>
      <c r="J243" s="9"/>
      <c r="K243" s="9"/>
      <c r="L243" s="9"/>
    </row>
    <row r="244" spans="1:12" ht="15" customHeight="1" x14ac:dyDescent="0.2">
      <c r="A244" s="2"/>
      <c r="B244" s="3"/>
      <c r="C244" s="2"/>
      <c r="D244" s="3"/>
      <c r="E244" s="3"/>
      <c r="F244" s="3"/>
      <c r="G244" s="3"/>
      <c r="H244" s="2"/>
      <c r="I244" s="3"/>
      <c r="J244" s="3"/>
      <c r="K244" s="3"/>
      <c r="L244" s="3"/>
    </row>
    <row r="245" spans="1:12" ht="15" customHeight="1" x14ac:dyDescent="0.2">
      <c r="A245" s="8"/>
      <c r="B245" s="9"/>
      <c r="C245" s="8"/>
      <c r="D245" s="9"/>
      <c r="E245" s="9"/>
      <c r="F245" s="9"/>
      <c r="G245" s="9"/>
      <c r="H245" s="8"/>
      <c r="I245" s="9"/>
      <c r="J245" s="9"/>
      <c r="K245" s="9"/>
      <c r="L245" s="9"/>
    </row>
    <row r="246" spans="1:12" ht="15" customHeight="1" x14ac:dyDescent="0.2">
      <c r="A246" s="2"/>
      <c r="B246" s="3"/>
      <c r="C246" s="2"/>
      <c r="D246" s="3"/>
      <c r="E246" s="3"/>
      <c r="F246" s="3"/>
      <c r="G246" s="3"/>
      <c r="H246" s="2"/>
      <c r="I246" s="3"/>
      <c r="J246" s="3"/>
      <c r="K246" s="3"/>
      <c r="L246" s="3"/>
    </row>
    <row r="247" spans="1:12" ht="15" customHeight="1" x14ac:dyDescent="0.2">
      <c r="A247" s="8"/>
      <c r="B247" s="9"/>
      <c r="C247" s="8"/>
      <c r="D247" s="9"/>
      <c r="E247" s="9"/>
      <c r="F247" s="9"/>
      <c r="G247" s="9"/>
      <c r="H247" s="8"/>
      <c r="I247" s="9"/>
      <c r="J247" s="9"/>
      <c r="K247" s="9"/>
      <c r="L247" s="9"/>
    </row>
    <row r="248" spans="1:12" ht="15" customHeight="1" x14ac:dyDescent="0.2">
      <c r="A248" s="2"/>
      <c r="B248" s="3"/>
      <c r="C248" s="2"/>
      <c r="D248" s="3"/>
      <c r="E248" s="3"/>
      <c r="F248" s="3"/>
      <c r="G248" s="3"/>
      <c r="H248" s="2"/>
      <c r="I248" s="3"/>
      <c r="J248" s="3"/>
      <c r="K248" s="3"/>
      <c r="L248" s="3"/>
    </row>
    <row r="249" spans="1:12" ht="15" customHeight="1" x14ac:dyDescent="0.2">
      <c r="A249" s="8"/>
      <c r="B249" s="9"/>
      <c r="C249" s="8"/>
      <c r="D249" s="9"/>
      <c r="E249" s="9"/>
      <c r="F249" s="9"/>
      <c r="G249" s="9"/>
      <c r="H249" s="8"/>
      <c r="I249" s="9"/>
      <c r="J249" s="9"/>
      <c r="K249" s="9"/>
      <c r="L249" s="9"/>
    </row>
    <row r="250" spans="1:12" ht="15" customHeight="1" x14ac:dyDescent="0.2">
      <c r="A250" s="2"/>
      <c r="B250" s="3"/>
      <c r="C250" s="2"/>
      <c r="D250" s="3"/>
      <c r="E250" s="3"/>
      <c r="F250" s="3"/>
      <c r="G250" s="3"/>
      <c r="H250" s="2"/>
      <c r="I250" s="3"/>
      <c r="J250" s="3"/>
      <c r="K250" s="3"/>
      <c r="L250" s="3"/>
    </row>
    <row r="251" spans="1:12" ht="15" customHeight="1" x14ac:dyDescent="0.2">
      <c r="A251" s="8"/>
      <c r="B251" s="9"/>
      <c r="C251" s="8"/>
      <c r="D251" s="9"/>
      <c r="E251" s="9"/>
      <c r="F251" s="9"/>
      <c r="G251" s="9"/>
      <c r="H251" s="8"/>
      <c r="I251" s="9"/>
      <c r="J251" s="9"/>
      <c r="K251" s="9"/>
      <c r="L251" s="9"/>
    </row>
    <row r="252" spans="1:12" ht="15" customHeight="1" x14ac:dyDescent="0.2">
      <c r="A252" s="2"/>
      <c r="B252" s="3"/>
      <c r="C252" s="2"/>
      <c r="D252" s="3"/>
      <c r="E252" s="3"/>
      <c r="F252" s="3"/>
      <c r="G252" s="3"/>
      <c r="H252" s="2"/>
      <c r="I252" s="3"/>
      <c r="J252" s="3"/>
      <c r="K252" s="3"/>
      <c r="L252" s="3"/>
    </row>
    <row r="253" spans="1:12" ht="15" customHeight="1" x14ac:dyDescent="0.2">
      <c r="A253" s="8"/>
      <c r="B253" s="9"/>
      <c r="C253" s="8"/>
      <c r="D253" s="9"/>
      <c r="E253" s="9"/>
      <c r="F253" s="9"/>
      <c r="G253" s="9"/>
      <c r="H253" s="8"/>
      <c r="I253" s="9"/>
      <c r="J253" s="9"/>
      <c r="K253" s="9"/>
      <c r="L253" s="9"/>
    </row>
    <row r="254" spans="1:12" ht="15" customHeight="1" x14ac:dyDescent="0.2">
      <c r="A254" s="2"/>
      <c r="B254" s="3"/>
      <c r="C254" s="2"/>
      <c r="D254" s="3"/>
      <c r="E254" s="3"/>
      <c r="F254" s="3"/>
      <c r="G254" s="3"/>
      <c r="H254" s="2"/>
      <c r="I254" s="3"/>
      <c r="J254" s="3"/>
      <c r="K254" s="3"/>
      <c r="L254" s="3"/>
    </row>
    <row r="255" spans="1:12" ht="15" customHeight="1" x14ac:dyDescent="0.2">
      <c r="A255" s="8"/>
      <c r="B255" s="9"/>
      <c r="C255" s="8"/>
      <c r="D255" s="9"/>
      <c r="E255" s="9"/>
      <c r="F255" s="9"/>
      <c r="G255" s="9"/>
      <c r="H255" s="8"/>
      <c r="I255" s="9"/>
      <c r="J255" s="9"/>
      <c r="K255" s="9"/>
      <c r="L255" s="9"/>
    </row>
    <row r="256" spans="1:12" ht="15" customHeight="1" x14ac:dyDescent="0.2">
      <c r="A256" s="2"/>
      <c r="B256" s="3"/>
      <c r="C256" s="2"/>
      <c r="D256" s="3"/>
      <c r="E256" s="3"/>
      <c r="F256" s="3"/>
      <c r="G256" s="3"/>
      <c r="H256" s="2"/>
      <c r="I256" s="3"/>
      <c r="J256" s="3"/>
      <c r="K256" s="3"/>
      <c r="L256" s="3"/>
    </row>
    <row r="257" spans="1:12" ht="15" customHeight="1" x14ac:dyDescent="0.2">
      <c r="A257" s="8"/>
      <c r="B257" s="9"/>
      <c r="C257" s="8"/>
      <c r="D257" s="9"/>
      <c r="E257" s="9"/>
      <c r="F257" s="9"/>
      <c r="G257" s="9"/>
      <c r="H257" s="8"/>
      <c r="I257" s="9"/>
      <c r="J257" s="9"/>
      <c r="K257" s="9"/>
      <c r="L257" s="9"/>
    </row>
    <row r="258" spans="1:12" ht="15" customHeight="1" x14ac:dyDescent="0.2">
      <c r="A258" s="2"/>
      <c r="B258" s="3"/>
      <c r="C258" s="2"/>
      <c r="D258" s="3"/>
      <c r="E258" s="3"/>
      <c r="F258" s="3"/>
      <c r="G258" s="3"/>
      <c r="H258" s="2"/>
      <c r="I258" s="3"/>
      <c r="J258" s="3"/>
      <c r="K258" s="3"/>
      <c r="L258" s="3"/>
    </row>
    <row r="259" spans="1:12" ht="15" customHeight="1" x14ac:dyDescent="0.2">
      <c r="A259" s="8"/>
      <c r="B259" s="9"/>
      <c r="C259" s="8"/>
      <c r="D259" s="9"/>
      <c r="E259" s="9"/>
      <c r="F259" s="9"/>
      <c r="G259" s="9"/>
      <c r="H259" s="8"/>
      <c r="I259" s="9"/>
      <c r="J259" s="9"/>
      <c r="K259" s="9"/>
      <c r="L259" s="9"/>
    </row>
    <row r="260" spans="1:12" ht="15" customHeight="1" x14ac:dyDescent="0.2">
      <c r="A260" s="2"/>
      <c r="B260" s="3"/>
      <c r="C260" s="2"/>
      <c r="D260" s="3"/>
      <c r="E260" s="3"/>
      <c r="F260" s="3"/>
      <c r="G260" s="3"/>
      <c r="H260" s="2"/>
      <c r="I260" s="3"/>
      <c r="J260" s="3"/>
      <c r="K260" s="3"/>
      <c r="L260" s="3"/>
    </row>
    <row r="261" spans="1:12" ht="15" customHeight="1" x14ac:dyDescent="0.2">
      <c r="A261" s="8"/>
      <c r="B261" s="9"/>
      <c r="C261" s="8"/>
      <c r="D261" s="9"/>
      <c r="E261" s="9"/>
      <c r="F261" s="9"/>
      <c r="G261" s="9"/>
      <c r="H261" s="8"/>
      <c r="I261" s="9"/>
      <c r="J261" s="9"/>
      <c r="K261" s="9"/>
      <c r="L261" s="9"/>
    </row>
    <row r="262" spans="1:12" ht="15" customHeight="1" x14ac:dyDescent="0.2">
      <c r="A262" s="2"/>
      <c r="B262" s="3"/>
      <c r="C262" s="2"/>
      <c r="D262" s="3"/>
      <c r="E262" s="3"/>
      <c r="F262" s="3"/>
      <c r="G262" s="3"/>
      <c r="H262" s="2"/>
      <c r="I262" s="3"/>
      <c r="J262" s="3"/>
      <c r="K262" s="3"/>
      <c r="L262" s="3"/>
    </row>
    <row r="263" spans="1:12" ht="15" customHeight="1" x14ac:dyDescent="0.2">
      <c r="A263" s="8"/>
      <c r="B263" s="9"/>
      <c r="C263" s="8"/>
      <c r="D263" s="9"/>
      <c r="E263" s="9"/>
      <c r="F263" s="9"/>
      <c r="G263" s="9"/>
      <c r="H263" s="8"/>
      <c r="I263" s="9"/>
      <c r="J263" s="9"/>
      <c r="K263" s="9"/>
      <c r="L263" s="9"/>
    </row>
    <row r="264" spans="1:12" ht="15" customHeight="1" x14ac:dyDescent="0.2">
      <c r="A264" s="2"/>
      <c r="B264" s="3"/>
      <c r="C264" s="2"/>
      <c r="D264" s="3"/>
      <c r="E264" s="3"/>
      <c r="F264" s="3"/>
      <c r="G264" s="3"/>
      <c r="H264" s="2"/>
      <c r="I264" s="3"/>
      <c r="J264" s="3"/>
      <c r="K264" s="3"/>
      <c r="L264" s="3"/>
    </row>
    <row r="265" spans="1:12" ht="15" customHeight="1" x14ac:dyDescent="0.2">
      <c r="A265" s="8"/>
      <c r="B265" s="9"/>
      <c r="C265" s="8"/>
      <c r="D265" s="9"/>
      <c r="E265" s="9"/>
      <c r="F265" s="9"/>
      <c r="G265" s="9"/>
      <c r="H265" s="8"/>
      <c r="I265" s="9"/>
      <c r="J265" s="9"/>
      <c r="K265" s="9"/>
      <c r="L265" s="9"/>
    </row>
    <row r="266" spans="1:12" ht="15" customHeight="1" x14ac:dyDescent="0.2">
      <c r="A266" s="2"/>
      <c r="B266" s="3"/>
      <c r="C266" s="2"/>
      <c r="D266" s="3"/>
      <c r="E266" s="3"/>
      <c r="F266" s="3"/>
      <c r="G266" s="3"/>
      <c r="H266" s="2"/>
      <c r="I266" s="3"/>
      <c r="J266" s="3"/>
      <c r="K266" s="3"/>
      <c r="L266" s="3"/>
    </row>
    <row r="267" spans="1:12" ht="15" customHeight="1" x14ac:dyDescent="0.2">
      <c r="A267" s="8"/>
      <c r="B267" s="9"/>
      <c r="C267" s="8"/>
      <c r="D267" s="9"/>
      <c r="E267" s="9"/>
      <c r="F267" s="9"/>
      <c r="G267" s="9"/>
      <c r="H267" s="8"/>
      <c r="I267" s="9"/>
      <c r="J267" s="9"/>
      <c r="K267" s="9"/>
      <c r="L267" s="9"/>
    </row>
    <row r="268" spans="1:12" ht="15" customHeight="1" x14ac:dyDescent="0.2">
      <c r="A268" s="2"/>
      <c r="B268" s="3"/>
      <c r="C268" s="2"/>
      <c r="D268" s="3"/>
      <c r="E268" s="3"/>
      <c r="F268" s="3"/>
      <c r="G268" s="3"/>
      <c r="H268" s="2"/>
      <c r="I268" s="3"/>
      <c r="J268" s="3"/>
      <c r="K268" s="3"/>
      <c r="L268" s="3"/>
    </row>
    <row r="269" spans="1:12" ht="15" customHeight="1" x14ac:dyDescent="0.2">
      <c r="A269" s="8"/>
      <c r="B269" s="9"/>
      <c r="C269" s="8"/>
      <c r="D269" s="9"/>
      <c r="E269" s="9"/>
      <c r="F269" s="9"/>
      <c r="G269" s="9"/>
      <c r="H269" s="8"/>
      <c r="I269" s="9"/>
      <c r="J269" s="9"/>
      <c r="K269" s="9"/>
      <c r="L269" s="9"/>
    </row>
    <row r="270" spans="1:12" ht="15" customHeight="1" x14ac:dyDescent="0.2">
      <c r="A270" s="2"/>
      <c r="B270" s="3"/>
      <c r="C270" s="2"/>
      <c r="D270" s="3"/>
      <c r="E270" s="3"/>
      <c r="F270" s="3"/>
      <c r="G270" s="3"/>
      <c r="H270" s="2"/>
      <c r="I270" s="3"/>
      <c r="J270" s="3"/>
      <c r="K270" s="3"/>
      <c r="L270" s="3"/>
    </row>
    <row r="271" spans="1:12" ht="15" customHeight="1" x14ac:dyDescent="0.2">
      <c r="A271" s="8"/>
      <c r="B271" s="9"/>
      <c r="C271" s="8"/>
      <c r="D271" s="9"/>
      <c r="E271" s="9"/>
      <c r="F271" s="9"/>
      <c r="G271" s="9"/>
      <c r="H271" s="8"/>
      <c r="I271" s="9"/>
      <c r="J271" s="9"/>
      <c r="K271" s="9"/>
      <c r="L271" s="9"/>
    </row>
    <row r="272" spans="1:12" ht="15" customHeight="1" x14ac:dyDescent="0.2">
      <c r="A272" s="2"/>
      <c r="B272" s="3"/>
      <c r="C272" s="2"/>
      <c r="D272" s="3"/>
      <c r="E272" s="3"/>
      <c r="F272" s="3"/>
      <c r="G272" s="3"/>
      <c r="H272" s="2"/>
      <c r="I272" s="3"/>
      <c r="J272" s="3"/>
      <c r="K272" s="3"/>
      <c r="L272" s="3"/>
    </row>
    <row r="273" spans="1:12" ht="15" customHeight="1" x14ac:dyDescent="0.2">
      <c r="A273" s="8"/>
      <c r="B273" s="9"/>
      <c r="C273" s="8"/>
      <c r="D273" s="9"/>
      <c r="E273" s="9"/>
      <c r="F273" s="9"/>
      <c r="G273" s="9"/>
      <c r="H273" s="8"/>
      <c r="I273" s="9"/>
      <c r="J273" s="9"/>
      <c r="K273" s="9"/>
      <c r="L273" s="9"/>
    </row>
    <row r="274" spans="1:12" ht="15" customHeight="1" x14ac:dyDescent="0.2">
      <c r="A274" s="2"/>
      <c r="B274" s="3"/>
      <c r="C274" s="2"/>
      <c r="D274" s="3"/>
      <c r="E274" s="3"/>
      <c r="F274" s="3"/>
      <c r="G274" s="3"/>
      <c r="H274" s="2"/>
      <c r="I274" s="3"/>
      <c r="J274" s="3"/>
      <c r="K274" s="3"/>
      <c r="L274" s="3"/>
    </row>
    <row r="275" spans="1:12" ht="15" customHeight="1" x14ac:dyDescent="0.2">
      <c r="A275" s="8"/>
      <c r="B275" s="9"/>
      <c r="C275" s="8"/>
      <c r="D275" s="9"/>
      <c r="E275" s="9"/>
      <c r="F275" s="9"/>
      <c r="G275" s="9"/>
      <c r="H275" s="8"/>
      <c r="I275" s="9"/>
      <c r="J275" s="9"/>
      <c r="K275" s="9"/>
      <c r="L275" s="9"/>
    </row>
    <row r="276" spans="1:12" ht="15" customHeight="1" x14ac:dyDescent="0.2">
      <c r="A276" s="2"/>
      <c r="B276" s="3"/>
      <c r="C276" s="2"/>
      <c r="D276" s="3"/>
      <c r="E276" s="3"/>
      <c r="F276" s="3"/>
      <c r="G276" s="3"/>
      <c r="H276" s="2"/>
      <c r="I276" s="3"/>
      <c r="J276" s="3"/>
      <c r="K276" s="3"/>
      <c r="L276" s="3"/>
    </row>
    <row r="277" spans="1:12" ht="15" customHeight="1" x14ac:dyDescent="0.2">
      <c r="A277" s="8"/>
      <c r="B277" s="9"/>
      <c r="C277" s="8"/>
      <c r="D277" s="9"/>
      <c r="E277" s="9"/>
      <c r="F277" s="9"/>
      <c r="G277" s="9"/>
      <c r="H277" s="8"/>
      <c r="I277" s="9"/>
      <c r="J277" s="9"/>
      <c r="K277" s="9"/>
      <c r="L277" s="9"/>
    </row>
    <row r="278" spans="1:12" ht="15" customHeight="1" x14ac:dyDescent="0.2">
      <c r="A278" s="2"/>
      <c r="B278" s="3"/>
      <c r="C278" s="2"/>
      <c r="D278" s="3"/>
      <c r="E278" s="3"/>
      <c r="F278" s="3"/>
      <c r="G278" s="3"/>
      <c r="H278" s="2"/>
      <c r="I278" s="3"/>
      <c r="J278" s="3"/>
      <c r="K278" s="3"/>
      <c r="L278" s="3"/>
    </row>
    <row r="279" spans="1:12" ht="15" customHeight="1" x14ac:dyDescent="0.2">
      <c r="A279" s="8"/>
      <c r="B279" s="9"/>
      <c r="C279" s="8"/>
      <c r="D279" s="9"/>
      <c r="E279" s="9"/>
      <c r="F279" s="9"/>
      <c r="G279" s="9"/>
      <c r="H279" s="8"/>
      <c r="I279" s="9"/>
      <c r="J279" s="9"/>
      <c r="K279" s="9"/>
      <c r="L279" s="9"/>
    </row>
    <row r="280" spans="1:12" ht="15" customHeight="1" x14ac:dyDescent="0.2">
      <c r="A280" s="2"/>
      <c r="B280" s="3"/>
      <c r="C280" s="2"/>
      <c r="D280" s="3"/>
      <c r="E280" s="3"/>
      <c r="F280" s="3"/>
      <c r="G280" s="3"/>
      <c r="H280" s="2"/>
      <c r="I280" s="3"/>
      <c r="J280" s="3"/>
      <c r="K280" s="3"/>
      <c r="L280" s="3"/>
    </row>
    <row r="281" spans="1:12" ht="15" customHeight="1" x14ac:dyDescent="0.2">
      <c r="A281" s="8"/>
      <c r="B281" s="9"/>
      <c r="C281" s="8"/>
      <c r="D281" s="9"/>
      <c r="E281" s="9"/>
      <c r="F281" s="9"/>
      <c r="G281" s="9"/>
      <c r="H281" s="8"/>
      <c r="I281" s="9"/>
      <c r="J281" s="9"/>
      <c r="K281" s="9"/>
      <c r="L281" s="9"/>
    </row>
    <row r="282" spans="1:12" ht="15" customHeight="1" x14ac:dyDescent="0.2">
      <c r="A282" s="2"/>
      <c r="B282" s="3"/>
      <c r="C282" s="2"/>
      <c r="D282" s="3"/>
      <c r="E282" s="3"/>
      <c r="F282" s="3"/>
      <c r="G282" s="3"/>
      <c r="H282" s="2"/>
      <c r="I282" s="3"/>
      <c r="J282" s="3"/>
      <c r="K282" s="3"/>
      <c r="L282" s="3"/>
    </row>
    <row r="283" spans="1:12" ht="15" customHeight="1" x14ac:dyDescent="0.2">
      <c r="A283" s="8"/>
      <c r="B283" s="9"/>
      <c r="C283" s="8"/>
      <c r="D283" s="9"/>
      <c r="E283" s="9"/>
      <c r="F283" s="9"/>
      <c r="G283" s="9"/>
      <c r="H283" s="8"/>
      <c r="I283" s="9"/>
      <c r="J283" s="9"/>
      <c r="K283" s="9"/>
      <c r="L283" s="9"/>
    </row>
    <row r="284" spans="1:12" ht="15" customHeight="1" x14ac:dyDescent="0.2">
      <c r="A284" s="2"/>
      <c r="B284" s="3"/>
      <c r="C284" s="2"/>
      <c r="D284" s="3"/>
      <c r="E284" s="3"/>
      <c r="F284" s="3"/>
      <c r="G284" s="3"/>
      <c r="H284" s="2"/>
      <c r="I284" s="3"/>
      <c r="J284" s="3"/>
      <c r="K284" s="3"/>
      <c r="L284" s="3"/>
    </row>
    <row r="285" spans="1:12" ht="15" customHeight="1" x14ac:dyDescent="0.2">
      <c r="A285" s="8"/>
      <c r="B285" s="9"/>
      <c r="C285" s="8"/>
      <c r="D285" s="9"/>
      <c r="E285" s="9"/>
      <c r="F285" s="9"/>
      <c r="G285" s="9"/>
      <c r="H285" s="8"/>
      <c r="I285" s="9"/>
      <c r="J285" s="9"/>
      <c r="K285" s="9"/>
      <c r="L285" s="9"/>
    </row>
    <row r="286" spans="1:12" ht="15" customHeight="1" x14ac:dyDescent="0.2">
      <c r="A286" s="2"/>
      <c r="B286" s="3"/>
      <c r="C286" s="2"/>
      <c r="D286" s="3"/>
      <c r="E286" s="3"/>
      <c r="F286" s="3"/>
      <c r="G286" s="3"/>
      <c r="H286" s="2"/>
      <c r="I286" s="3"/>
      <c r="J286" s="3"/>
      <c r="K286" s="3"/>
      <c r="L286" s="3"/>
    </row>
    <row r="287" spans="1:12" ht="15" customHeight="1" x14ac:dyDescent="0.2">
      <c r="A287" s="8"/>
      <c r="B287" s="9"/>
      <c r="C287" s="8"/>
      <c r="D287" s="9"/>
      <c r="E287" s="9"/>
      <c r="F287" s="9"/>
      <c r="G287" s="9"/>
      <c r="H287" s="8"/>
      <c r="I287" s="9"/>
      <c r="J287" s="9"/>
      <c r="K287" s="9"/>
      <c r="L287" s="9"/>
    </row>
    <row r="288" spans="1:12" ht="15" customHeight="1" x14ac:dyDescent="0.2">
      <c r="A288" s="2"/>
      <c r="B288" s="3"/>
      <c r="C288" s="2"/>
      <c r="D288" s="3"/>
      <c r="E288" s="3"/>
      <c r="F288" s="3"/>
      <c r="G288" s="3"/>
      <c r="H288" s="2"/>
      <c r="I288" s="3"/>
      <c r="J288" s="3"/>
      <c r="K288" s="3"/>
      <c r="L288" s="3"/>
    </row>
    <row r="289" spans="1:12" ht="15" customHeight="1" x14ac:dyDescent="0.2">
      <c r="A289" s="8"/>
      <c r="B289" s="9"/>
      <c r="C289" s="8"/>
      <c r="D289" s="9"/>
      <c r="E289" s="9"/>
      <c r="F289" s="9"/>
      <c r="G289" s="9"/>
      <c r="H289" s="8"/>
      <c r="I289" s="9"/>
      <c r="J289" s="9"/>
      <c r="K289" s="9"/>
      <c r="L289" s="9"/>
    </row>
    <row r="290" spans="1:12" ht="15" customHeight="1" x14ac:dyDescent="0.2">
      <c r="A290" s="2"/>
      <c r="B290" s="3"/>
      <c r="C290" s="2"/>
      <c r="D290" s="3"/>
      <c r="E290" s="3"/>
      <c r="F290" s="3"/>
      <c r="G290" s="3"/>
      <c r="H290" s="2"/>
      <c r="I290" s="3"/>
      <c r="J290" s="3"/>
      <c r="K290" s="3"/>
      <c r="L290" s="3"/>
    </row>
    <row r="291" spans="1:12" ht="15" customHeight="1" x14ac:dyDescent="0.2">
      <c r="A291" s="8"/>
      <c r="B291" s="9"/>
      <c r="C291" s="8"/>
      <c r="D291" s="9"/>
      <c r="E291" s="9"/>
      <c r="F291" s="9"/>
      <c r="G291" s="9"/>
      <c r="H291" s="8"/>
      <c r="I291" s="9"/>
      <c r="J291" s="9"/>
      <c r="K291" s="9"/>
      <c r="L291" s="9"/>
    </row>
    <row r="292" spans="1:12" ht="15" customHeight="1" x14ac:dyDescent="0.2">
      <c r="A292" s="2"/>
      <c r="B292" s="3"/>
      <c r="C292" s="2"/>
      <c r="D292" s="3"/>
      <c r="E292" s="3"/>
      <c r="F292" s="3"/>
      <c r="G292" s="3"/>
      <c r="H292" s="2"/>
      <c r="I292" s="3"/>
      <c r="J292" s="3"/>
      <c r="K292" s="3"/>
      <c r="L292" s="3"/>
    </row>
    <row r="293" spans="1:12" ht="15" customHeight="1" x14ac:dyDescent="0.2">
      <c r="A293" s="8"/>
      <c r="B293" s="9"/>
      <c r="C293" s="8"/>
      <c r="D293" s="9"/>
      <c r="E293" s="9"/>
      <c r="F293" s="9"/>
      <c r="G293" s="9"/>
      <c r="H293" s="8"/>
      <c r="I293" s="9"/>
      <c r="J293" s="9"/>
      <c r="K293" s="9"/>
      <c r="L293" s="9"/>
    </row>
    <row r="294" spans="1:12" ht="15" customHeight="1" x14ac:dyDescent="0.2">
      <c r="A294" s="2"/>
      <c r="B294" s="3"/>
      <c r="C294" s="2"/>
      <c r="D294" s="3"/>
      <c r="E294" s="3"/>
      <c r="F294" s="3"/>
      <c r="G294" s="3"/>
      <c r="H294" s="2"/>
      <c r="I294" s="3"/>
      <c r="J294" s="3"/>
      <c r="K294" s="3"/>
      <c r="L294" s="3"/>
    </row>
    <row r="295" spans="1:12" ht="15" customHeight="1" x14ac:dyDescent="0.2">
      <c r="A295" s="8"/>
      <c r="B295" s="9"/>
      <c r="C295" s="8"/>
      <c r="D295" s="9"/>
      <c r="E295" s="9"/>
      <c r="F295" s="9"/>
      <c r="G295" s="9"/>
      <c r="H295" s="8"/>
      <c r="I295" s="9"/>
      <c r="J295" s="9"/>
      <c r="K295" s="9"/>
      <c r="L295" s="9"/>
    </row>
    <row r="296" spans="1:12" ht="15" customHeight="1" x14ac:dyDescent="0.2">
      <c r="A296" s="2"/>
      <c r="B296" s="3"/>
      <c r="C296" s="2"/>
      <c r="D296" s="3"/>
      <c r="E296" s="3"/>
      <c r="F296" s="3"/>
      <c r="G296" s="3"/>
      <c r="H296" s="2"/>
      <c r="I296" s="3"/>
      <c r="J296" s="3"/>
      <c r="K296" s="3"/>
      <c r="L296" s="3"/>
    </row>
    <row r="297" spans="1:12" ht="15" customHeight="1" x14ac:dyDescent="0.2">
      <c r="A297" s="8"/>
      <c r="B297" s="9"/>
      <c r="C297" s="8"/>
      <c r="D297" s="9"/>
      <c r="E297" s="9"/>
      <c r="F297" s="9"/>
      <c r="G297" s="9"/>
      <c r="H297" s="8"/>
      <c r="I297" s="9"/>
      <c r="J297" s="9"/>
      <c r="K297" s="9"/>
      <c r="L297" s="9"/>
    </row>
    <row r="298" spans="1:12" ht="15" customHeight="1" x14ac:dyDescent="0.2">
      <c r="A298" s="2"/>
      <c r="B298" s="3"/>
      <c r="C298" s="2"/>
      <c r="D298" s="3"/>
      <c r="E298" s="3"/>
      <c r="F298" s="3"/>
      <c r="G298" s="3"/>
      <c r="H298" s="2"/>
      <c r="I298" s="3"/>
      <c r="J298" s="3"/>
      <c r="K298" s="3"/>
      <c r="L298" s="3"/>
    </row>
    <row r="299" spans="1:12" ht="15" customHeight="1" x14ac:dyDescent="0.2">
      <c r="A299" s="8"/>
      <c r="B299" s="9"/>
      <c r="C299" s="8"/>
      <c r="D299" s="9"/>
      <c r="E299" s="9"/>
      <c r="F299" s="9"/>
      <c r="G299" s="9"/>
      <c r="H299" s="8"/>
      <c r="I299" s="9"/>
      <c r="J299" s="9"/>
      <c r="K299" s="9"/>
      <c r="L299" s="9"/>
    </row>
    <row r="300" spans="1:12" ht="15" customHeight="1" x14ac:dyDescent="0.2">
      <c r="A300" s="2"/>
      <c r="B300" s="3"/>
      <c r="C300" s="2"/>
      <c r="D300" s="3"/>
      <c r="E300" s="3"/>
      <c r="F300" s="3"/>
      <c r="G300" s="3"/>
      <c r="H300" s="2"/>
      <c r="I300" s="3"/>
      <c r="J300" s="3"/>
      <c r="K300" s="3"/>
      <c r="L300" s="3"/>
    </row>
    <row r="301" spans="1:12" ht="15" customHeight="1" x14ac:dyDescent="0.2">
      <c r="A301" s="8"/>
      <c r="B301" s="9"/>
      <c r="C301" s="8"/>
      <c r="D301" s="9"/>
      <c r="E301" s="9"/>
      <c r="F301" s="9"/>
      <c r="G301" s="9"/>
      <c r="H301" s="8"/>
      <c r="I301" s="9"/>
      <c r="J301" s="9"/>
      <c r="K301" s="9"/>
      <c r="L301" s="9"/>
    </row>
    <row r="302" spans="1:12" ht="15" customHeight="1" x14ac:dyDescent="0.2">
      <c r="A302" s="2"/>
      <c r="B302" s="3"/>
      <c r="C302" s="2"/>
      <c r="D302" s="3"/>
      <c r="E302" s="3"/>
      <c r="F302" s="3"/>
      <c r="G302" s="3"/>
      <c r="H302" s="2"/>
      <c r="I302" s="3"/>
      <c r="J302" s="3"/>
      <c r="K302" s="3"/>
      <c r="L302" s="3"/>
    </row>
    <row r="303" spans="1:12" ht="15" customHeight="1" x14ac:dyDescent="0.2">
      <c r="A303" s="8"/>
      <c r="B303" s="9"/>
      <c r="C303" s="8"/>
      <c r="D303" s="9"/>
      <c r="E303" s="9"/>
      <c r="F303" s="9"/>
      <c r="G303" s="9"/>
      <c r="H303" s="8"/>
      <c r="I303" s="9"/>
      <c r="J303" s="9"/>
      <c r="K303" s="9"/>
      <c r="L303" s="9"/>
    </row>
    <row r="304" spans="1:12" ht="15" customHeight="1" x14ac:dyDescent="0.2">
      <c r="A304" s="2"/>
      <c r="B304" s="3"/>
      <c r="C304" s="2"/>
      <c r="D304" s="3"/>
      <c r="E304" s="3"/>
      <c r="F304" s="3"/>
      <c r="G304" s="3"/>
      <c r="H304" s="2"/>
      <c r="I304" s="3"/>
      <c r="J304" s="3"/>
      <c r="K304" s="3"/>
      <c r="L304" s="3"/>
    </row>
    <row r="305" spans="1:12" ht="15" customHeight="1" x14ac:dyDescent="0.2">
      <c r="A305" s="8"/>
      <c r="B305" s="9"/>
      <c r="C305" s="8"/>
      <c r="D305" s="9"/>
      <c r="E305" s="9"/>
      <c r="F305" s="9"/>
      <c r="G305" s="9"/>
      <c r="H305" s="8"/>
      <c r="I305" s="9"/>
      <c r="J305" s="9"/>
      <c r="K305" s="9"/>
      <c r="L305" s="9"/>
    </row>
    <row r="306" spans="1:12" ht="15" customHeight="1" x14ac:dyDescent="0.2">
      <c r="A306" s="2"/>
      <c r="B306" s="3"/>
      <c r="C306" s="2"/>
      <c r="D306" s="3"/>
      <c r="E306" s="3"/>
      <c r="F306" s="3"/>
      <c r="G306" s="3"/>
      <c r="H306" s="2"/>
      <c r="I306" s="3"/>
      <c r="J306" s="3"/>
      <c r="K306" s="3"/>
      <c r="L306" s="3"/>
    </row>
    <row r="307" spans="1:12" ht="15" customHeight="1" x14ac:dyDescent="0.2">
      <c r="A307" s="8"/>
      <c r="B307" s="9"/>
      <c r="C307" s="8"/>
      <c r="D307" s="9"/>
      <c r="E307" s="9"/>
      <c r="F307" s="9"/>
      <c r="G307" s="9"/>
      <c r="H307" s="8"/>
      <c r="I307" s="9"/>
      <c r="J307" s="9"/>
      <c r="K307" s="9"/>
      <c r="L307" s="9"/>
    </row>
    <row r="308" spans="1:12" ht="15" customHeight="1" x14ac:dyDescent="0.2">
      <c r="A308" s="2"/>
      <c r="B308" s="3"/>
      <c r="C308" s="2"/>
      <c r="D308" s="3"/>
      <c r="E308" s="3"/>
      <c r="F308" s="3"/>
      <c r="G308" s="3"/>
      <c r="H308" s="2"/>
      <c r="I308" s="3"/>
      <c r="J308" s="3"/>
      <c r="K308" s="3"/>
      <c r="L308" s="3"/>
    </row>
    <row r="309" spans="1:12" ht="15" customHeight="1" x14ac:dyDescent="0.2">
      <c r="A309" s="8"/>
      <c r="B309" s="9"/>
      <c r="C309" s="8"/>
      <c r="D309" s="9"/>
      <c r="E309" s="9"/>
      <c r="F309" s="9"/>
      <c r="G309" s="9"/>
      <c r="H309" s="8"/>
      <c r="I309" s="9"/>
      <c r="J309" s="9"/>
      <c r="K309" s="9"/>
      <c r="L309" s="9"/>
    </row>
    <row r="310" spans="1:12" ht="15" customHeight="1" x14ac:dyDescent="0.2">
      <c r="A310" s="2"/>
      <c r="B310" s="3"/>
      <c r="C310" s="2"/>
      <c r="D310" s="3"/>
      <c r="E310" s="3"/>
      <c r="F310" s="3"/>
      <c r="G310" s="3"/>
      <c r="H310" s="2"/>
      <c r="I310" s="3"/>
      <c r="J310" s="3"/>
      <c r="K310" s="3"/>
      <c r="L310" s="3"/>
    </row>
    <row r="311" spans="1:12" ht="15" customHeight="1" x14ac:dyDescent="0.2">
      <c r="A311" s="8"/>
      <c r="B311" s="9"/>
      <c r="C311" s="8"/>
      <c r="D311" s="9"/>
      <c r="E311" s="9"/>
      <c r="F311" s="9"/>
      <c r="G311" s="9"/>
      <c r="H311" s="8"/>
      <c r="I311" s="9"/>
      <c r="J311" s="9"/>
      <c r="K311" s="9"/>
      <c r="L311" s="9"/>
    </row>
    <row r="312" spans="1:12" ht="15" customHeight="1" x14ac:dyDescent="0.2">
      <c r="A312" s="2"/>
      <c r="B312" s="3"/>
      <c r="C312" s="2"/>
      <c r="D312" s="3"/>
      <c r="E312" s="3"/>
      <c r="F312" s="3"/>
      <c r="G312" s="3"/>
      <c r="H312" s="2"/>
      <c r="I312" s="3"/>
      <c r="J312" s="3"/>
      <c r="K312" s="3"/>
      <c r="L312" s="3"/>
    </row>
    <row r="313" spans="1:12" ht="15" customHeight="1" x14ac:dyDescent="0.2">
      <c r="A313" s="8"/>
      <c r="B313" s="9"/>
      <c r="C313" s="8"/>
      <c r="D313" s="9"/>
      <c r="E313" s="9"/>
      <c r="F313" s="9"/>
      <c r="G313" s="9"/>
      <c r="H313" s="8"/>
      <c r="I313" s="9"/>
      <c r="J313" s="9"/>
      <c r="K313" s="9"/>
      <c r="L313" s="9"/>
    </row>
    <row r="314" spans="1:12" ht="15" customHeight="1" x14ac:dyDescent="0.2">
      <c r="A314" s="2"/>
      <c r="B314" s="3"/>
      <c r="C314" s="2"/>
      <c r="D314" s="3"/>
      <c r="E314" s="3"/>
      <c r="F314" s="3"/>
      <c r="G314" s="3"/>
      <c r="H314" s="2"/>
      <c r="I314" s="3"/>
      <c r="J314" s="3"/>
      <c r="K314" s="3"/>
      <c r="L314" s="3"/>
    </row>
    <row r="315" spans="1:12" ht="15" customHeight="1" x14ac:dyDescent="0.2">
      <c r="A315" s="8"/>
      <c r="B315" s="9"/>
      <c r="C315" s="8"/>
      <c r="D315" s="9"/>
      <c r="E315" s="9"/>
      <c r="F315" s="9"/>
      <c r="G315" s="9"/>
      <c r="H315" s="8"/>
      <c r="I315" s="9"/>
      <c r="J315" s="9"/>
      <c r="K315" s="9"/>
      <c r="L315" s="9"/>
    </row>
    <row r="316" spans="1:12" ht="15" customHeight="1" x14ac:dyDescent="0.2">
      <c r="A316" s="2"/>
      <c r="B316" s="3"/>
      <c r="C316" s="2"/>
      <c r="D316" s="3"/>
      <c r="E316" s="3"/>
      <c r="F316" s="3"/>
      <c r="G316" s="3"/>
      <c r="H316" s="2"/>
      <c r="I316" s="3"/>
      <c r="J316" s="3"/>
      <c r="K316" s="3"/>
      <c r="L316" s="3"/>
    </row>
    <row r="317" spans="1:12" ht="15" customHeight="1" x14ac:dyDescent="0.2">
      <c r="A317" s="8"/>
      <c r="B317" s="9"/>
      <c r="C317" s="8"/>
      <c r="D317" s="9"/>
      <c r="E317" s="9"/>
      <c r="F317" s="9"/>
      <c r="G317" s="9"/>
      <c r="H317" s="8"/>
      <c r="I317" s="9"/>
      <c r="J317" s="9"/>
      <c r="K317" s="9"/>
      <c r="L317" s="9"/>
    </row>
    <row r="318" spans="1:12" ht="15" customHeight="1" x14ac:dyDescent="0.2">
      <c r="A318" s="2"/>
      <c r="B318" s="3"/>
      <c r="C318" s="2"/>
      <c r="D318" s="3"/>
      <c r="E318" s="3"/>
      <c r="F318" s="3"/>
      <c r="G318" s="3"/>
      <c r="H318" s="2"/>
      <c r="I318" s="3"/>
      <c r="J318" s="3"/>
      <c r="K318" s="3"/>
      <c r="L318" s="3"/>
    </row>
    <row r="319" spans="1:12" ht="15" customHeight="1" x14ac:dyDescent="0.2">
      <c r="A319" s="8"/>
      <c r="B319" s="9"/>
      <c r="C319" s="8"/>
      <c r="D319" s="9"/>
      <c r="E319" s="9"/>
      <c r="F319" s="9"/>
      <c r="G319" s="9"/>
      <c r="H319" s="8"/>
      <c r="I319" s="9"/>
      <c r="J319" s="9"/>
      <c r="K319" s="9"/>
      <c r="L319" s="9"/>
    </row>
    <row r="320" spans="1:12" ht="15" customHeight="1" x14ac:dyDescent="0.2">
      <c r="A320" s="2"/>
      <c r="B320" s="3"/>
      <c r="C320" s="2"/>
      <c r="D320" s="3"/>
      <c r="E320" s="3"/>
      <c r="F320" s="3"/>
      <c r="G320" s="3"/>
      <c r="H320" s="2"/>
      <c r="I320" s="3"/>
      <c r="J320" s="3"/>
      <c r="K320" s="3"/>
      <c r="L320" s="3"/>
    </row>
    <row r="321" spans="1:12" ht="15" customHeight="1" x14ac:dyDescent="0.2">
      <c r="A321" s="8"/>
      <c r="B321" s="9"/>
      <c r="C321" s="8"/>
      <c r="D321" s="9"/>
      <c r="E321" s="9"/>
      <c r="F321" s="9"/>
      <c r="G321" s="9"/>
      <c r="H321" s="8"/>
      <c r="I321" s="9"/>
      <c r="J321" s="9"/>
      <c r="K321" s="9"/>
      <c r="L321" s="9"/>
    </row>
    <row r="322" spans="1:12" ht="15" customHeight="1" x14ac:dyDescent="0.2">
      <c r="A322" s="2"/>
      <c r="B322" s="3"/>
      <c r="C322" s="2"/>
      <c r="D322" s="3"/>
      <c r="E322" s="3"/>
      <c r="F322" s="3"/>
      <c r="G322" s="3"/>
      <c r="H322" s="2"/>
      <c r="I322" s="3"/>
      <c r="J322" s="3"/>
      <c r="K322" s="3"/>
      <c r="L322" s="3"/>
    </row>
    <row r="323" spans="1:12" ht="15" customHeight="1" x14ac:dyDescent="0.2">
      <c r="A323" s="8"/>
      <c r="B323" s="9"/>
      <c r="C323" s="8"/>
      <c r="D323" s="9"/>
      <c r="E323" s="9"/>
      <c r="F323" s="9"/>
      <c r="G323" s="9"/>
      <c r="H323" s="8"/>
      <c r="I323" s="9"/>
      <c r="J323" s="9"/>
      <c r="K323" s="9"/>
      <c r="L323" s="9"/>
    </row>
    <row r="324" spans="1:12" ht="15" customHeight="1" x14ac:dyDescent="0.2">
      <c r="A324" s="2"/>
      <c r="B324" s="3"/>
      <c r="C324" s="2"/>
      <c r="D324" s="3"/>
      <c r="E324" s="3"/>
      <c r="F324" s="3"/>
      <c r="G324" s="3"/>
      <c r="H324" s="2"/>
      <c r="I324" s="3"/>
      <c r="J324" s="3"/>
      <c r="K324" s="3"/>
      <c r="L324" s="3"/>
    </row>
    <row r="325" spans="1:12" ht="15" customHeight="1" x14ac:dyDescent="0.2">
      <c r="A325" s="8"/>
      <c r="B325" s="9"/>
      <c r="C325" s="8"/>
      <c r="D325" s="9"/>
      <c r="E325" s="9"/>
      <c r="F325" s="9"/>
      <c r="G325" s="9"/>
      <c r="H325" s="8"/>
      <c r="I325" s="9"/>
      <c r="J325" s="9"/>
      <c r="K325" s="9"/>
      <c r="L325" s="9"/>
    </row>
    <row r="326" spans="1:12" ht="15" customHeight="1" x14ac:dyDescent="0.2">
      <c r="A326" s="2"/>
      <c r="B326" s="3"/>
      <c r="C326" s="2"/>
      <c r="D326" s="3"/>
      <c r="E326" s="3"/>
      <c r="F326" s="3"/>
      <c r="G326" s="3"/>
      <c r="H326" s="2"/>
      <c r="I326" s="3"/>
      <c r="J326" s="3"/>
      <c r="K326" s="3"/>
      <c r="L326" s="3"/>
    </row>
    <row r="327" spans="1:12" ht="15" customHeight="1" x14ac:dyDescent="0.2">
      <c r="A327" s="8"/>
      <c r="B327" s="9"/>
      <c r="C327" s="8"/>
      <c r="D327" s="9"/>
      <c r="E327" s="9"/>
      <c r="F327" s="9"/>
      <c r="G327" s="9"/>
      <c r="H327" s="8"/>
      <c r="I327" s="9"/>
      <c r="J327" s="9"/>
      <c r="K327" s="9"/>
      <c r="L327" s="9"/>
    </row>
    <row r="328" spans="1:12" ht="15" customHeight="1" x14ac:dyDescent="0.2">
      <c r="A328" s="2"/>
      <c r="B328" s="3"/>
      <c r="C328" s="2"/>
      <c r="D328" s="3"/>
      <c r="E328" s="3"/>
      <c r="F328" s="3"/>
      <c r="G328" s="3"/>
      <c r="H328" s="2"/>
      <c r="I328" s="3"/>
      <c r="J328" s="3"/>
      <c r="K328" s="3"/>
      <c r="L328" s="3"/>
    </row>
    <row r="329" spans="1:12" ht="15" customHeight="1" x14ac:dyDescent="0.2">
      <c r="A329" s="8"/>
      <c r="B329" s="9"/>
      <c r="C329" s="8"/>
      <c r="D329" s="9"/>
      <c r="E329" s="9"/>
      <c r="F329" s="9"/>
      <c r="G329" s="9"/>
      <c r="H329" s="8"/>
      <c r="I329" s="9"/>
      <c r="J329" s="9"/>
      <c r="K329" s="9"/>
      <c r="L329" s="9"/>
    </row>
    <row r="330" spans="1:12" ht="15" customHeight="1" x14ac:dyDescent="0.2">
      <c r="A330" s="2"/>
      <c r="B330" s="3"/>
      <c r="C330" s="2"/>
      <c r="D330" s="3"/>
      <c r="E330" s="3"/>
      <c r="F330" s="3"/>
      <c r="G330" s="3"/>
      <c r="H330" s="2"/>
      <c r="I330" s="3"/>
      <c r="J330" s="3"/>
      <c r="K330" s="3"/>
      <c r="L330" s="3"/>
    </row>
    <row r="331" spans="1:12" ht="15" customHeight="1" x14ac:dyDescent="0.2">
      <c r="A331" s="8"/>
      <c r="B331" s="9"/>
      <c r="C331" s="8"/>
      <c r="D331" s="9"/>
      <c r="E331" s="9"/>
      <c r="F331" s="9"/>
      <c r="G331" s="9"/>
      <c r="H331" s="8"/>
      <c r="I331" s="9"/>
      <c r="J331" s="9"/>
      <c r="K331" s="9"/>
      <c r="L331" s="9"/>
    </row>
    <row r="332" spans="1:12" ht="15" customHeight="1" x14ac:dyDescent="0.2">
      <c r="A332" s="2"/>
      <c r="B332" s="3"/>
      <c r="C332" s="2"/>
      <c r="D332" s="3"/>
      <c r="E332" s="3"/>
      <c r="F332" s="3"/>
      <c r="G332" s="3"/>
      <c r="H332" s="2"/>
      <c r="I332" s="3"/>
      <c r="J332" s="3"/>
      <c r="K332" s="3"/>
      <c r="L332" s="3"/>
    </row>
    <row r="333" spans="1:12" ht="15" customHeight="1" x14ac:dyDescent="0.2">
      <c r="A333" s="8"/>
      <c r="B333" s="9"/>
      <c r="C333" s="8"/>
      <c r="D333" s="9"/>
      <c r="E333" s="9"/>
      <c r="F333" s="9"/>
      <c r="G333" s="9"/>
      <c r="H333" s="8"/>
      <c r="I333" s="9"/>
      <c r="J333" s="9"/>
      <c r="K333" s="9"/>
      <c r="L333" s="9"/>
    </row>
    <row r="334" spans="1:12" ht="15" customHeight="1" x14ac:dyDescent="0.2">
      <c r="A334" s="2"/>
      <c r="B334" s="3"/>
      <c r="C334" s="2"/>
      <c r="D334" s="3"/>
      <c r="E334" s="3"/>
      <c r="F334" s="3"/>
      <c r="G334" s="3"/>
      <c r="H334" s="2"/>
      <c r="I334" s="3"/>
      <c r="J334" s="3"/>
      <c r="K334" s="3"/>
      <c r="L334" s="3"/>
    </row>
    <row r="335" spans="1:12" ht="15" customHeight="1" x14ac:dyDescent="0.2">
      <c r="A335" s="8"/>
      <c r="B335" s="9"/>
      <c r="C335" s="8"/>
      <c r="D335" s="9"/>
      <c r="E335" s="9"/>
      <c r="F335" s="9"/>
      <c r="G335" s="9"/>
      <c r="H335" s="8"/>
      <c r="I335" s="9"/>
      <c r="J335" s="9"/>
      <c r="K335" s="9"/>
      <c r="L335" s="9"/>
    </row>
    <row r="336" spans="1:12" ht="15" customHeight="1" x14ac:dyDescent="0.2">
      <c r="A336" s="2"/>
      <c r="B336" s="3"/>
      <c r="C336" s="2"/>
      <c r="D336" s="3"/>
      <c r="E336" s="3"/>
      <c r="F336" s="3"/>
      <c r="G336" s="3"/>
      <c r="H336" s="2"/>
      <c r="I336" s="3"/>
      <c r="J336" s="3"/>
      <c r="K336" s="3"/>
      <c r="L336" s="3"/>
    </row>
    <row r="337" spans="1:12" ht="15" customHeight="1" x14ac:dyDescent="0.2">
      <c r="A337" s="8"/>
      <c r="B337" s="9"/>
      <c r="C337" s="8"/>
      <c r="D337" s="9"/>
      <c r="E337" s="9"/>
      <c r="F337" s="9"/>
      <c r="G337" s="9"/>
      <c r="H337" s="8"/>
      <c r="I337" s="9"/>
      <c r="J337" s="9"/>
      <c r="K337" s="9"/>
      <c r="L337" s="9"/>
    </row>
    <row r="338" spans="1:12" ht="15" customHeight="1" x14ac:dyDescent="0.2">
      <c r="A338" s="2"/>
      <c r="B338" s="3"/>
      <c r="C338" s="2"/>
      <c r="D338" s="3"/>
      <c r="E338" s="3"/>
      <c r="F338" s="3"/>
      <c r="G338" s="3"/>
      <c r="H338" s="2"/>
      <c r="I338" s="3"/>
      <c r="J338" s="3"/>
      <c r="K338" s="3"/>
      <c r="L338" s="3"/>
    </row>
    <row r="339" spans="1:12" ht="15" customHeight="1" x14ac:dyDescent="0.2">
      <c r="A339" s="8"/>
      <c r="B339" s="9"/>
      <c r="C339" s="8"/>
      <c r="D339" s="9"/>
      <c r="E339" s="9"/>
      <c r="F339" s="9"/>
      <c r="G339" s="9"/>
      <c r="H339" s="8"/>
      <c r="I339" s="9"/>
      <c r="J339" s="9"/>
      <c r="K339" s="9"/>
      <c r="L339" s="9"/>
    </row>
    <row r="340" spans="1:12" ht="15" customHeight="1" x14ac:dyDescent="0.2">
      <c r="A340" s="2"/>
      <c r="B340" s="3"/>
      <c r="C340" s="2"/>
      <c r="D340" s="3"/>
      <c r="E340" s="3"/>
      <c r="F340" s="3"/>
      <c r="G340" s="3"/>
      <c r="H340" s="2"/>
      <c r="I340" s="3"/>
      <c r="J340" s="3"/>
      <c r="K340" s="3"/>
      <c r="L340" s="3"/>
    </row>
    <row r="341" spans="1:12" ht="15" customHeight="1" x14ac:dyDescent="0.2">
      <c r="A341" s="8"/>
      <c r="B341" s="9"/>
      <c r="C341" s="8"/>
      <c r="D341" s="9"/>
      <c r="E341" s="9"/>
      <c r="F341" s="9"/>
      <c r="G341" s="9"/>
      <c r="H341" s="8"/>
      <c r="I341" s="9"/>
      <c r="J341" s="9"/>
      <c r="K341" s="9"/>
      <c r="L341" s="9"/>
    </row>
    <row r="342" spans="1:12" ht="15" customHeight="1" x14ac:dyDescent="0.2">
      <c r="A342" s="2"/>
      <c r="B342" s="3"/>
      <c r="C342" s="2"/>
      <c r="D342" s="3"/>
      <c r="E342" s="3"/>
      <c r="F342" s="3"/>
      <c r="G342" s="3"/>
      <c r="H342" s="2"/>
      <c r="I342" s="3"/>
      <c r="J342" s="3"/>
      <c r="K342" s="3"/>
      <c r="L342" s="3"/>
    </row>
    <row r="343" spans="1:12" ht="15" customHeight="1" x14ac:dyDescent="0.2">
      <c r="A343" s="8"/>
      <c r="B343" s="9"/>
      <c r="C343" s="8"/>
      <c r="D343" s="9"/>
      <c r="E343" s="9"/>
      <c r="F343" s="9"/>
      <c r="G343" s="9"/>
      <c r="H343" s="8"/>
      <c r="I343" s="9"/>
      <c r="J343" s="9"/>
      <c r="K343" s="9"/>
      <c r="L343" s="9"/>
    </row>
    <row r="344" spans="1:12" ht="15" customHeight="1" x14ac:dyDescent="0.2">
      <c r="A344" s="2"/>
      <c r="B344" s="3"/>
      <c r="C344" s="2"/>
      <c r="D344" s="3"/>
      <c r="E344" s="3"/>
      <c r="F344" s="3"/>
      <c r="G344" s="3"/>
      <c r="H344" s="2"/>
      <c r="I344" s="3"/>
      <c r="J344" s="3"/>
      <c r="K344" s="3"/>
      <c r="L344" s="3"/>
    </row>
    <row r="345" spans="1:12" ht="15" customHeight="1" x14ac:dyDescent="0.2">
      <c r="A345" s="8"/>
      <c r="B345" s="9"/>
      <c r="C345" s="8"/>
      <c r="D345" s="9"/>
      <c r="E345" s="9"/>
      <c r="F345" s="9"/>
      <c r="G345" s="9"/>
      <c r="H345" s="8"/>
      <c r="I345" s="9"/>
      <c r="J345" s="9"/>
      <c r="K345" s="9"/>
      <c r="L345" s="9"/>
    </row>
    <row r="346" spans="1:12" ht="15" customHeight="1" x14ac:dyDescent="0.2">
      <c r="A346" s="2"/>
      <c r="B346" s="3"/>
      <c r="C346" s="2"/>
      <c r="D346" s="3"/>
      <c r="E346" s="3"/>
      <c r="F346" s="3"/>
      <c r="G346" s="3"/>
      <c r="H346" s="2"/>
      <c r="I346" s="3"/>
      <c r="J346" s="3"/>
      <c r="K346" s="3"/>
      <c r="L346" s="3"/>
    </row>
    <row r="347" spans="1:12" ht="15" customHeight="1" x14ac:dyDescent="0.2">
      <c r="A347" s="8"/>
      <c r="B347" s="9"/>
      <c r="C347" s="8"/>
      <c r="D347" s="9"/>
      <c r="E347" s="9"/>
      <c r="F347" s="9"/>
      <c r="G347" s="9"/>
      <c r="H347" s="8"/>
      <c r="I347" s="9"/>
      <c r="J347" s="9"/>
      <c r="K347" s="9"/>
      <c r="L347" s="9"/>
    </row>
    <row r="348" spans="1:12" ht="15" customHeight="1" x14ac:dyDescent="0.2">
      <c r="A348" s="2"/>
      <c r="B348" s="3"/>
      <c r="C348" s="2"/>
      <c r="D348" s="3"/>
      <c r="E348" s="3"/>
      <c r="F348" s="3"/>
      <c r="G348" s="3"/>
      <c r="H348" s="2"/>
      <c r="I348" s="3"/>
      <c r="J348" s="3"/>
      <c r="K348" s="3"/>
      <c r="L348" s="3"/>
    </row>
    <row r="349" spans="1:12" ht="15" customHeight="1" x14ac:dyDescent="0.2">
      <c r="A349" s="8"/>
      <c r="B349" s="9"/>
      <c r="C349" s="8"/>
      <c r="D349" s="9"/>
      <c r="E349" s="9"/>
      <c r="F349" s="9"/>
      <c r="G349" s="9"/>
      <c r="H349" s="8"/>
      <c r="I349" s="9"/>
      <c r="J349" s="9"/>
      <c r="K349" s="9"/>
      <c r="L349" s="9"/>
    </row>
    <row r="350" spans="1:12" ht="15" customHeight="1" x14ac:dyDescent="0.2">
      <c r="A350" s="2"/>
      <c r="B350" s="3"/>
      <c r="C350" s="2"/>
      <c r="D350" s="3"/>
      <c r="E350" s="3"/>
      <c r="F350" s="3"/>
      <c r="G350" s="3"/>
      <c r="H350" s="2"/>
      <c r="I350" s="3"/>
      <c r="J350" s="3"/>
      <c r="K350" s="3"/>
      <c r="L350" s="3"/>
    </row>
    <row r="351" spans="1:12" ht="15" customHeight="1" x14ac:dyDescent="0.2">
      <c r="A351" s="8"/>
      <c r="B351" s="9"/>
      <c r="C351" s="8"/>
      <c r="D351" s="9"/>
      <c r="E351" s="9"/>
      <c r="F351" s="9"/>
      <c r="G351" s="9"/>
      <c r="H351" s="8"/>
      <c r="I351" s="9"/>
      <c r="J351" s="9"/>
      <c r="K351" s="9"/>
      <c r="L351" s="9"/>
    </row>
    <row r="352" spans="1:12" ht="15" customHeight="1" x14ac:dyDescent="0.2">
      <c r="A352" s="2"/>
      <c r="B352" s="3"/>
      <c r="C352" s="2"/>
      <c r="D352" s="3"/>
      <c r="E352" s="3"/>
      <c r="F352" s="3"/>
      <c r="G352" s="3"/>
      <c r="H352" s="2"/>
      <c r="I352" s="3"/>
      <c r="J352" s="3"/>
      <c r="K352" s="3"/>
      <c r="L352" s="3"/>
    </row>
    <row r="353" spans="1:12" ht="15" customHeight="1" x14ac:dyDescent="0.2">
      <c r="A353" s="8"/>
      <c r="B353" s="9"/>
      <c r="C353" s="8"/>
      <c r="D353" s="9"/>
      <c r="E353" s="9"/>
      <c r="F353" s="9"/>
      <c r="G353" s="9"/>
      <c r="H353" s="8"/>
      <c r="I353" s="9"/>
      <c r="J353" s="9"/>
      <c r="K353" s="9"/>
      <c r="L353" s="9"/>
    </row>
    <row r="354" spans="1:12" ht="15" customHeight="1" x14ac:dyDescent="0.2">
      <c r="A354" s="2"/>
      <c r="B354" s="3"/>
      <c r="C354" s="2"/>
      <c r="D354" s="3"/>
      <c r="E354" s="3"/>
      <c r="F354" s="3"/>
      <c r="G354" s="3"/>
      <c r="H354" s="2"/>
      <c r="I354" s="3"/>
      <c r="J354" s="3"/>
      <c r="K354" s="3"/>
      <c r="L354" s="3"/>
    </row>
    <row r="355" spans="1:12" ht="15" customHeight="1" x14ac:dyDescent="0.2">
      <c r="A355" s="8"/>
      <c r="B355" s="9"/>
      <c r="C355" s="8"/>
      <c r="D355" s="9"/>
      <c r="E355" s="9"/>
      <c r="F355" s="9"/>
      <c r="G355" s="9"/>
      <c r="H355" s="8"/>
      <c r="I355" s="9"/>
      <c r="J355" s="9"/>
      <c r="K355" s="9"/>
      <c r="L355" s="9"/>
    </row>
    <row r="356" spans="1:12" ht="15" customHeight="1" x14ac:dyDescent="0.2">
      <c r="A356" s="2"/>
      <c r="B356" s="3"/>
      <c r="C356" s="2"/>
      <c r="D356" s="3"/>
      <c r="E356" s="3"/>
      <c r="F356" s="3"/>
      <c r="G356" s="3"/>
      <c r="H356" s="2"/>
      <c r="I356" s="3"/>
      <c r="J356" s="3"/>
      <c r="K356" s="3"/>
      <c r="L356" s="3"/>
    </row>
    <row r="357" spans="1:12" ht="15" customHeight="1" x14ac:dyDescent="0.2">
      <c r="A357" s="8"/>
      <c r="B357" s="9"/>
      <c r="C357" s="8"/>
      <c r="D357" s="9"/>
      <c r="E357" s="9"/>
      <c r="F357" s="9"/>
      <c r="G357" s="9"/>
      <c r="H357" s="8"/>
      <c r="I357" s="9"/>
      <c r="J357" s="9"/>
      <c r="K357" s="9"/>
      <c r="L357" s="9"/>
    </row>
    <row r="358" spans="1:12" ht="15" customHeight="1" x14ac:dyDescent="0.2">
      <c r="A358" s="2"/>
      <c r="B358" s="3"/>
      <c r="C358" s="2"/>
      <c r="D358" s="3"/>
      <c r="E358" s="3"/>
      <c r="F358" s="3"/>
      <c r="G358" s="3"/>
      <c r="H358" s="2"/>
      <c r="I358" s="3"/>
      <c r="J358" s="3"/>
      <c r="K358" s="3"/>
      <c r="L358" s="3"/>
    </row>
    <row r="359" spans="1:12" ht="15" customHeight="1" x14ac:dyDescent="0.2">
      <c r="A359" s="8"/>
      <c r="B359" s="9"/>
      <c r="C359" s="8"/>
      <c r="D359" s="9"/>
      <c r="E359" s="9"/>
      <c r="F359" s="9"/>
      <c r="G359" s="9"/>
      <c r="H359" s="8"/>
      <c r="I359" s="9"/>
      <c r="J359" s="9"/>
      <c r="K359" s="9"/>
      <c r="L359" s="9"/>
    </row>
    <row r="360" spans="1:12" ht="15" customHeight="1" x14ac:dyDescent="0.2">
      <c r="A360" s="2"/>
      <c r="B360" s="3"/>
      <c r="C360" s="2"/>
      <c r="D360" s="3"/>
      <c r="E360" s="3"/>
      <c r="F360" s="3"/>
      <c r="G360" s="3"/>
      <c r="H360" s="2"/>
      <c r="I360" s="3"/>
      <c r="J360" s="3"/>
      <c r="K360" s="3"/>
      <c r="L360" s="3"/>
    </row>
    <row r="361" spans="1:12" ht="15" customHeight="1" x14ac:dyDescent="0.2">
      <c r="A361" s="8"/>
      <c r="B361" s="9"/>
      <c r="C361" s="8"/>
      <c r="D361" s="9"/>
      <c r="E361" s="9"/>
      <c r="F361" s="9"/>
      <c r="G361" s="9"/>
      <c r="H361" s="8"/>
      <c r="I361" s="9"/>
      <c r="J361" s="9"/>
      <c r="K361" s="9"/>
      <c r="L361" s="9"/>
    </row>
    <row r="362" spans="1:12" ht="15" customHeight="1" x14ac:dyDescent="0.2">
      <c r="A362" s="2"/>
      <c r="B362" s="3"/>
      <c r="C362" s="2"/>
      <c r="D362" s="3"/>
      <c r="E362" s="3"/>
      <c r="F362" s="3"/>
      <c r="G362" s="3"/>
      <c r="H362" s="2"/>
      <c r="I362" s="3"/>
      <c r="J362" s="3"/>
      <c r="K362" s="3"/>
      <c r="L362" s="3"/>
    </row>
    <row r="363" spans="1:12" ht="15" customHeight="1" x14ac:dyDescent="0.2">
      <c r="A363" s="8"/>
      <c r="B363" s="9"/>
      <c r="C363" s="8"/>
      <c r="D363" s="9"/>
      <c r="E363" s="9"/>
      <c r="F363" s="9"/>
      <c r="G363" s="9"/>
      <c r="H363" s="8"/>
      <c r="I363" s="9"/>
      <c r="J363" s="9"/>
      <c r="K363" s="9"/>
      <c r="L363" s="9"/>
    </row>
    <row r="364" spans="1:12" ht="15" customHeight="1" x14ac:dyDescent="0.2">
      <c r="A364" s="2"/>
      <c r="B364" s="3"/>
      <c r="C364" s="2"/>
      <c r="D364" s="3"/>
      <c r="E364" s="3"/>
      <c r="F364" s="3"/>
      <c r="G364" s="3"/>
      <c r="H364" s="2"/>
      <c r="I364" s="3"/>
      <c r="J364" s="3"/>
      <c r="K364" s="3"/>
      <c r="L364" s="3"/>
    </row>
    <row r="365" spans="1:12" ht="15" customHeight="1" x14ac:dyDescent="0.2">
      <c r="A365" s="8"/>
      <c r="B365" s="9"/>
      <c r="C365" s="8"/>
      <c r="D365" s="9"/>
      <c r="E365" s="9"/>
      <c r="F365" s="9"/>
      <c r="G365" s="9"/>
      <c r="H365" s="8"/>
      <c r="I365" s="9"/>
      <c r="J365" s="9"/>
      <c r="K365" s="9"/>
      <c r="L365" s="9"/>
    </row>
    <row r="366" spans="1:12" ht="15" customHeight="1" x14ac:dyDescent="0.2">
      <c r="A366" s="2"/>
      <c r="B366" s="3"/>
      <c r="C366" s="2"/>
      <c r="D366" s="3"/>
      <c r="E366" s="3"/>
      <c r="F366" s="3"/>
      <c r="G366" s="3"/>
      <c r="H366" s="2"/>
      <c r="I366" s="3"/>
      <c r="J366" s="3"/>
      <c r="K366" s="3"/>
      <c r="L366" s="3"/>
    </row>
    <row r="367" spans="1:12" ht="15" customHeight="1" x14ac:dyDescent="0.2">
      <c r="A367" s="8"/>
      <c r="B367" s="9"/>
      <c r="C367" s="8"/>
      <c r="D367" s="9"/>
      <c r="E367" s="9"/>
      <c r="F367" s="9"/>
      <c r="G367" s="9"/>
      <c r="H367" s="8"/>
      <c r="I367" s="9"/>
      <c r="J367" s="9"/>
      <c r="K367" s="9"/>
      <c r="L367" s="9"/>
    </row>
    <row r="368" spans="1:12" ht="15" customHeight="1" x14ac:dyDescent="0.2">
      <c r="A368" s="2"/>
      <c r="B368" s="3"/>
      <c r="C368" s="2"/>
      <c r="D368" s="3"/>
      <c r="E368" s="3"/>
      <c r="F368" s="3"/>
      <c r="G368" s="3"/>
      <c r="H368" s="2"/>
      <c r="I368" s="3"/>
      <c r="J368" s="3"/>
      <c r="K368" s="3"/>
      <c r="L368" s="3"/>
    </row>
    <row r="369" spans="1:12" ht="15" customHeight="1" x14ac:dyDescent="0.2">
      <c r="A369" s="8"/>
      <c r="B369" s="9"/>
      <c r="C369" s="8"/>
      <c r="D369" s="9"/>
      <c r="E369" s="9"/>
      <c r="F369" s="9"/>
      <c r="G369" s="9"/>
      <c r="H369" s="8"/>
      <c r="I369" s="9"/>
      <c r="J369" s="9"/>
      <c r="K369" s="9"/>
      <c r="L369" s="9"/>
    </row>
    <row r="370" spans="1:12" ht="15" customHeight="1" x14ac:dyDescent="0.2">
      <c r="A370" s="2"/>
      <c r="B370" s="3"/>
      <c r="C370" s="2"/>
      <c r="D370" s="3"/>
      <c r="E370" s="3"/>
      <c r="F370" s="3"/>
      <c r="G370" s="3"/>
      <c r="H370" s="2"/>
      <c r="I370" s="3"/>
      <c r="J370" s="3"/>
      <c r="K370" s="3"/>
      <c r="L370" s="3"/>
    </row>
    <row r="371" spans="1:12" ht="15" customHeight="1" x14ac:dyDescent="0.2">
      <c r="A371" s="8"/>
      <c r="B371" s="9"/>
      <c r="C371" s="8"/>
      <c r="D371" s="9"/>
      <c r="E371" s="9"/>
      <c r="F371" s="9"/>
      <c r="G371" s="9"/>
      <c r="H371" s="8"/>
      <c r="I371" s="9"/>
      <c r="J371" s="9"/>
      <c r="K371" s="9"/>
      <c r="L371" s="9"/>
    </row>
    <row r="372" spans="1:12" ht="15" customHeight="1" x14ac:dyDescent="0.2">
      <c r="A372" s="2"/>
      <c r="B372" s="3"/>
      <c r="C372" s="2"/>
      <c r="D372" s="3"/>
      <c r="E372" s="3"/>
      <c r="F372" s="3"/>
      <c r="G372" s="3"/>
      <c r="H372" s="2"/>
      <c r="I372" s="3"/>
      <c r="J372" s="3"/>
      <c r="K372" s="3"/>
      <c r="L372" s="3"/>
    </row>
    <row r="373" spans="1:12" ht="15" customHeight="1" x14ac:dyDescent="0.2">
      <c r="A373" s="8"/>
      <c r="B373" s="9"/>
      <c r="C373" s="8"/>
      <c r="D373" s="9"/>
      <c r="E373" s="9"/>
      <c r="F373" s="9"/>
      <c r="G373" s="9"/>
      <c r="H373" s="8"/>
      <c r="I373" s="9"/>
      <c r="J373" s="9"/>
      <c r="K373" s="9"/>
      <c r="L373" s="9"/>
    </row>
    <row r="374" spans="1:12" ht="15" customHeight="1" x14ac:dyDescent="0.2">
      <c r="A374" s="2"/>
      <c r="B374" s="3"/>
      <c r="C374" s="2"/>
      <c r="D374" s="3"/>
      <c r="E374" s="3"/>
      <c r="F374" s="3"/>
      <c r="G374" s="3"/>
      <c r="H374" s="2"/>
      <c r="I374" s="3"/>
      <c r="J374" s="3"/>
      <c r="K374" s="3"/>
      <c r="L374" s="3"/>
    </row>
    <row r="375" spans="1:12" ht="15" customHeight="1" x14ac:dyDescent="0.2">
      <c r="A375" s="8"/>
      <c r="B375" s="9"/>
      <c r="C375" s="8"/>
      <c r="D375" s="9"/>
      <c r="E375" s="9"/>
      <c r="F375" s="9"/>
      <c r="G375" s="9"/>
      <c r="H375" s="8"/>
      <c r="I375" s="9"/>
      <c r="J375" s="9"/>
      <c r="K375" s="9"/>
      <c r="L375" s="9"/>
    </row>
    <row r="376" spans="1:12" ht="15" customHeight="1" x14ac:dyDescent="0.2">
      <c r="A376" s="2"/>
      <c r="B376" s="3"/>
      <c r="C376" s="2"/>
      <c r="D376" s="3"/>
      <c r="E376" s="3"/>
      <c r="F376" s="3"/>
      <c r="G376" s="3"/>
      <c r="H376" s="2"/>
      <c r="I376" s="3"/>
      <c r="J376" s="3"/>
      <c r="K376" s="3"/>
      <c r="L376" s="3"/>
    </row>
    <row r="377" spans="1:12" ht="15" customHeight="1" x14ac:dyDescent="0.2">
      <c r="A377" s="8"/>
      <c r="B377" s="9"/>
      <c r="C377" s="8"/>
      <c r="D377" s="9"/>
      <c r="E377" s="9"/>
      <c r="F377" s="9"/>
      <c r="G377" s="9"/>
      <c r="H377" s="8"/>
      <c r="I377" s="9"/>
      <c r="J377" s="9"/>
      <c r="K377" s="9"/>
      <c r="L377" s="9"/>
    </row>
    <row r="378" spans="1:12" ht="15" customHeight="1" x14ac:dyDescent="0.2">
      <c r="A378" s="2"/>
      <c r="B378" s="3"/>
      <c r="C378" s="2"/>
      <c r="D378" s="3"/>
      <c r="E378" s="3"/>
      <c r="F378" s="3"/>
      <c r="G378" s="3"/>
      <c r="H378" s="2"/>
      <c r="I378" s="3"/>
      <c r="J378" s="3"/>
      <c r="K378" s="3"/>
      <c r="L378" s="3"/>
    </row>
    <row r="379" spans="1:12" ht="15" customHeight="1" x14ac:dyDescent="0.2">
      <c r="A379" s="8"/>
      <c r="B379" s="9"/>
      <c r="C379" s="8"/>
      <c r="D379" s="9"/>
      <c r="E379" s="9"/>
      <c r="F379" s="9"/>
      <c r="G379" s="9"/>
      <c r="H379" s="8"/>
      <c r="I379" s="9"/>
      <c r="J379" s="9"/>
      <c r="K379" s="9"/>
      <c r="L379" s="9"/>
    </row>
    <row r="380" spans="1:12" ht="15" customHeight="1" x14ac:dyDescent="0.2">
      <c r="A380" s="2"/>
      <c r="B380" s="3"/>
      <c r="C380" s="2"/>
      <c r="D380" s="3"/>
      <c r="E380" s="3"/>
      <c r="F380" s="3"/>
      <c r="G380" s="3"/>
      <c r="H380" s="2"/>
      <c r="I380" s="3"/>
      <c r="J380" s="3"/>
      <c r="K380" s="3"/>
      <c r="L380" s="3"/>
    </row>
    <row r="381" spans="1:12" ht="15" customHeight="1" x14ac:dyDescent="0.2">
      <c r="A381" s="8"/>
      <c r="B381" s="9"/>
      <c r="C381" s="8"/>
      <c r="D381" s="9"/>
      <c r="E381" s="9"/>
      <c r="F381" s="9"/>
      <c r="G381" s="9"/>
      <c r="H381" s="8"/>
      <c r="I381" s="9"/>
      <c r="J381" s="9"/>
      <c r="K381" s="9"/>
      <c r="L381" s="9"/>
    </row>
    <row r="382" spans="1:12" ht="15" customHeight="1" x14ac:dyDescent="0.2">
      <c r="A382" s="2"/>
      <c r="B382" s="3"/>
      <c r="C382" s="2"/>
      <c r="D382" s="3"/>
      <c r="E382" s="3"/>
      <c r="F382" s="3"/>
      <c r="G382" s="3"/>
      <c r="H382" s="2"/>
      <c r="I382" s="3"/>
      <c r="J382" s="3"/>
      <c r="K382" s="3"/>
      <c r="L382" s="3"/>
    </row>
    <row r="383" spans="1:12" ht="15" customHeight="1" x14ac:dyDescent="0.2">
      <c r="A383" s="8"/>
      <c r="B383" s="9"/>
      <c r="C383" s="8"/>
      <c r="D383" s="9"/>
      <c r="E383" s="9"/>
      <c r="F383" s="9"/>
      <c r="G383" s="9"/>
      <c r="H383" s="8"/>
      <c r="I383" s="9"/>
      <c r="J383" s="9"/>
      <c r="K383" s="9"/>
      <c r="L383" s="9"/>
    </row>
    <row r="384" spans="1:12" ht="15" customHeight="1" x14ac:dyDescent="0.2">
      <c r="A384" s="2"/>
      <c r="B384" s="3"/>
      <c r="C384" s="2"/>
      <c r="D384" s="3"/>
      <c r="E384" s="3"/>
      <c r="F384" s="3"/>
      <c r="G384" s="3"/>
      <c r="H384" s="2"/>
      <c r="I384" s="3"/>
      <c r="J384" s="3"/>
      <c r="K384" s="3"/>
      <c r="L384" s="3"/>
    </row>
    <row r="385" spans="1:12" ht="15" customHeight="1" x14ac:dyDescent="0.2">
      <c r="A385" s="8"/>
      <c r="B385" s="9"/>
      <c r="C385" s="8"/>
      <c r="D385" s="9"/>
      <c r="E385" s="9"/>
      <c r="F385" s="9"/>
      <c r="G385" s="9"/>
      <c r="H385" s="8"/>
      <c r="I385" s="9"/>
      <c r="J385" s="9"/>
      <c r="K385" s="9"/>
      <c r="L385" s="9"/>
    </row>
    <row r="386" spans="1:12" ht="15" customHeight="1" x14ac:dyDescent="0.2">
      <c r="A386" s="2"/>
      <c r="B386" s="3"/>
      <c r="C386" s="2"/>
      <c r="D386" s="3"/>
      <c r="E386" s="3"/>
      <c r="F386" s="3"/>
      <c r="G386" s="3"/>
      <c r="H386" s="2"/>
      <c r="I386" s="3"/>
      <c r="J386" s="3"/>
      <c r="K386" s="3"/>
      <c r="L386" s="3"/>
    </row>
    <row r="387" spans="1:12" ht="15" customHeight="1" x14ac:dyDescent="0.2">
      <c r="A387" s="8"/>
      <c r="B387" s="9"/>
      <c r="C387" s="8"/>
      <c r="D387" s="9"/>
      <c r="E387" s="9"/>
      <c r="F387" s="9"/>
      <c r="G387" s="9"/>
      <c r="H387" s="8"/>
      <c r="I387" s="9"/>
      <c r="J387" s="9"/>
      <c r="K387" s="9"/>
      <c r="L387" s="9"/>
    </row>
    <row r="388" spans="1:12" ht="15" customHeight="1" x14ac:dyDescent="0.2">
      <c r="A388" s="2"/>
      <c r="B388" s="3"/>
      <c r="C388" s="2"/>
      <c r="D388" s="3"/>
      <c r="E388" s="3"/>
      <c r="F388" s="3"/>
      <c r="G388" s="3"/>
      <c r="H388" s="2"/>
      <c r="I388" s="3"/>
      <c r="J388" s="3"/>
      <c r="K388" s="3"/>
      <c r="L388" s="3"/>
    </row>
    <row r="389" spans="1:12" ht="15" customHeight="1" x14ac:dyDescent="0.2">
      <c r="A389" s="8"/>
      <c r="B389" s="9"/>
      <c r="C389" s="8"/>
      <c r="D389" s="9"/>
      <c r="E389" s="9"/>
      <c r="F389" s="9"/>
      <c r="G389" s="9"/>
      <c r="H389" s="8"/>
      <c r="I389" s="9"/>
      <c r="J389" s="9"/>
      <c r="K389" s="9"/>
      <c r="L389" s="9"/>
    </row>
    <row r="390" spans="1:12" ht="15" customHeight="1" x14ac:dyDescent="0.2">
      <c r="A390" s="2"/>
      <c r="B390" s="3"/>
      <c r="C390" s="2"/>
      <c r="D390" s="3"/>
      <c r="E390" s="3"/>
      <c r="F390" s="3"/>
      <c r="G390" s="3"/>
      <c r="H390" s="2"/>
      <c r="I390" s="3"/>
      <c r="J390" s="3"/>
      <c r="K390" s="3"/>
      <c r="L390" s="3"/>
    </row>
    <row r="391" spans="1:12" ht="15" customHeight="1" x14ac:dyDescent="0.2">
      <c r="A391" s="8"/>
      <c r="B391" s="9"/>
      <c r="C391" s="8"/>
      <c r="D391" s="9"/>
      <c r="E391" s="9"/>
      <c r="F391" s="9"/>
      <c r="G391" s="9"/>
      <c r="H391" s="8"/>
      <c r="I391" s="9"/>
      <c r="J391" s="9"/>
      <c r="K391" s="9"/>
      <c r="L391" s="9"/>
    </row>
    <row r="392" spans="1:12" ht="15" customHeight="1" x14ac:dyDescent="0.2">
      <c r="A392" s="2"/>
      <c r="B392" s="3"/>
      <c r="C392" s="2"/>
      <c r="D392" s="3"/>
      <c r="E392" s="3"/>
      <c r="F392" s="3"/>
      <c r="G392" s="3"/>
      <c r="H392" s="2"/>
      <c r="I392" s="3"/>
      <c r="J392" s="3"/>
      <c r="K392" s="3"/>
      <c r="L392" s="3"/>
    </row>
    <row r="393" spans="1:12" ht="15" customHeight="1" x14ac:dyDescent="0.2">
      <c r="A393" s="8"/>
      <c r="B393" s="9"/>
      <c r="C393" s="8"/>
      <c r="D393" s="9"/>
      <c r="E393" s="9"/>
      <c r="F393" s="9"/>
      <c r="G393" s="9"/>
      <c r="H393" s="8"/>
      <c r="I393" s="9"/>
      <c r="J393" s="9"/>
      <c r="K393" s="9"/>
      <c r="L393" s="9"/>
    </row>
    <row r="394" spans="1:12" ht="15" customHeight="1" x14ac:dyDescent="0.2">
      <c r="A394" s="2"/>
      <c r="B394" s="3"/>
      <c r="C394" s="2"/>
      <c r="D394" s="3"/>
      <c r="E394" s="3"/>
      <c r="F394" s="3"/>
      <c r="G394" s="3"/>
      <c r="H394" s="2"/>
      <c r="I394" s="3"/>
      <c r="J394" s="3"/>
      <c r="K394" s="3"/>
      <c r="L394" s="3"/>
    </row>
    <row r="395" spans="1:12" ht="15" customHeight="1" x14ac:dyDescent="0.2">
      <c r="A395" s="8"/>
      <c r="B395" s="9"/>
      <c r="C395" s="8"/>
      <c r="D395" s="9"/>
      <c r="E395" s="9"/>
      <c r="F395" s="9"/>
      <c r="G395" s="9"/>
      <c r="H395" s="8"/>
      <c r="I395" s="9"/>
      <c r="J395" s="9"/>
      <c r="K395" s="9"/>
      <c r="L395" s="9"/>
    </row>
    <row r="396" spans="1:12" ht="15" customHeight="1" x14ac:dyDescent="0.2">
      <c r="A396" s="2"/>
      <c r="B396" s="3"/>
      <c r="C396" s="2"/>
      <c r="D396" s="3"/>
      <c r="E396" s="3"/>
      <c r="F396" s="3"/>
      <c r="G396" s="3"/>
      <c r="H396" s="2"/>
      <c r="I396" s="3"/>
      <c r="J396" s="3"/>
      <c r="K396" s="3"/>
      <c r="L396" s="3"/>
    </row>
    <row r="397" spans="1:12" ht="15" customHeight="1" x14ac:dyDescent="0.2">
      <c r="A397" s="8"/>
      <c r="B397" s="9"/>
      <c r="C397" s="8"/>
      <c r="D397" s="9"/>
      <c r="E397" s="9"/>
      <c r="F397" s="9"/>
      <c r="G397" s="9"/>
      <c r="H397" s="8"/>
      <c r="I397" s="9"/>
      <c r="J397" s="9"/>
      <c r="K397" s="9"/>
      <c r="L397" s="9"/>
    </row>
    <row r="398" spans="1:12" ht="15" customHeight="1" x14ac:dyDescent="0.2">
      <c r="A398" s="2"/>
      <c r="B398" s="3"/>
      <c r="C398" s="2"/>
      <c r="D398" s="3"/>
      <c r="E398" s="3"/>
      <c r="F398" s="3"/>
      <c r="G398" s="3"/>
      <c r="H398" s="2"/>
      <c r="I398" s="3"/>
      <c r="J398" s="3"/>
      <c r="K398" s="3"/>
      <c r="L398" s="3"/>
    </row>
    <row r="399" spans="1:12" ht="15" customHeight="1" x14ac:dyDescent="0.2">
      <c r="A399" s="8"/>
      <c r="B399" s="9"/>
      <c r="C399" s="8"/>
      <c r="D399" s="9"/>
      <c r="E399" s="9"/>
      <c r="F399" s="9"/>
      <c r="G399" s="9"/>
      <c r="H399" s="8"/>
      <c r="I399" s="9"/>
      <c r="J399" s="9"/>
      <c r="K399" s="9"/>
      <c r="L399" s="9"/>
    </row>
    <row r="400" spans="1:12" ht="15" customHeight="1" x14ac:dyDescent="0.2">
      <c r="A400" s="2"/>
      <c r="B400" s="3"/>
      <c r="C400" s="2"/>
      <c r="D400" s="3"/>
      <c r="E400" s="3"/>
      <c r="F400" s="3"/>
      <c r="G400" s="3"/>
      <c r="H400" s="2"/>
      <c r="I400" s="3"/>
      <c r="J400" s="3"/>
      <c r="K400" s="3"/>
      <c r="L400" s="3"/>
    </row>
    <row r="401" spans="1:12" ht="15" customHeight="1" x14ac:dyDescent="0.2">
      <c r="A401" s="8"/>
      <c r="B401" s="9"/>
      <c r="C401" s="8"/>
      <c r="D401" s="9"/>
      <c r="E401" s="9"/>
      <c r="F401" s="9"/>
      <c r="G401" s="9"/>
      <c r="H401" s="8"/>
      <c r="I401" s="9"/>
      <c r="J401" s="9"/>
      <c r="K401" s="9"/>
      <c r="L401" s="9"/>
    </row>
    <row r="402" spans="1:12" ht="15" customHeight="1" x14ac:dyDescent="0.2">
      <c r="A402" s="2"/>
      <c r="B402" s="3"/>
      <c r="C402" s="2"/>
      <c r="D402" s="3"/>
      <c r="E402" s="3"/>
      <c r="F402" s="3"/>
      <c r="G402" s="3"/>
      <c r="H402" s="2"/>
      <c r="I402" s="3"/>
      <c r="J402" s="3"/>
      <c r="K402" s="3"/>
      <c r="L402" s="3"/>
    </row>
    <row r="403" spans="1:12" ht="15" customHeight="1" x14ac:dyDescent="0.2">
      <c r="A403" s="8"/>
      <c r="B403" s="9"/>
      <c r="C403" s="8"/>
      <c r="D403" s="9"/>
      <c r="E403" s="9"/>
      <c r="F403" s="9"/>
      <c r="G403" s="9"/>
      <c r="H403" s="8"/>
      <c r="I403" s="9"/>
      <c r="J403" s="9"/>
      <c r="K403" s="9"/>
      <c r="L403" s="9"/>
    </row>
    <row r="404" spans="1:12" ht="15" customHeight="1" x14ac:dyDescent="0.2">
      <c r="A404" s="2"/>
      <c r="B404" s="3"/>
      <c r="C404" s="2"/>
      <c r="D404" s="3"/>
      <c r="E404" s="3"/>
      <c r="F404" s="3"/>
      <c r="G404" s="3"/>
      <c r="H404" s="2"/>
      <c r="I404" s="3"/>
      <c r="J404" s="3"/>
      <c r="K404" s="3"/>
      <c r="L404" s="3"/>
    </row>
    <row r="405" spans="1:12" ht="15" customHeight="1" x14ac:dyDescent="0.2">
      <c r="A405" s="8"/>
      <c r="B405" s="9"/>
      <c r="C405" s="8"/>
      <c r="D405" s="9"/>
      <c r="E405" s="9"/>
      <c r="F405" s="9"/>
      <c r="G405" s="9"/>
      <c r="H405" s="8"/>
      <c r="I405" s="9"/>
      <c r="J405" s="9"/>
      <c r="K405" s="9"/>
      <c r="L405" s="9"/>
    </row>
    <row r="406" spans="1:12" ht="15" customHeight="1" x14ac:dyDescent="0.2">
      <c r="A406" s="2"/>
      <c r="B406" s="3"/>
      <c r="C406" s="2"/>
      <c r="D406" s="3"/>
      <c r="E406" s="3"/>
      <c r="F406" s="3"/>
      <c r="G406" s="3"/>
      <c r="H406" s="2"/>
      <c r="I406" s="3"/>
      <c r="J406" s="3"/>
      <c r="K406" s="3"/>
      <c r="L406" s="3"/>
    </row>
    <row r="407" spans="1:12" ht="15" customHeight="1" x14ac:dyDescent="0.2">
      <c r="A407" s="8"/>
      <c r="B407" s="9"/>
      <c r="C407" s="8"/>
      <c r="D407" s="9"/>
      <c r="E407" s="9"/>
      <c r="F407" s="9"/>
      <c r="G407" s="9"/>
      <c r="H407" s="8"/>
      <c r="I407" s="9"/>
      <c r="J407" s="9"/>
      <c r="K407" s="9"/>
      <c r="L407" s="9"/>
    </row>
    <row r="408" spans="1:12" ht="15" customHeight="1" x14ac:dyDescent="0.2">
      <c r="A408" s="2"/>
      <c r="B408" s="3"/>
      <c r="C408" s="2"/>
      <c r="D408" s="3"/>
      <c r="E408" s="3"/>
      <c r="F408" s="3"/>
      <c r="G408" s="3"/>
      <c r="H408" s="2"/>
      <c r="I408" s="3"/>
      <c r="J408" s="3"/>
      <c r="K408" s="3"/>
      <c r="L408" s="3"/>
    </row>
    <row r="409" spans="1:12" ht="15" customHeight="1" x14ac:dyDescent="0.2">
      <c r="A409" s="8"/>
      <c r="B409" s="9"/>
      <c r="C409" s="8"/>
      <c r="D409" s="9"/>
      <c r="E409" s="9"/>
      <c r="F409" s="9"/>
      <c r="G409" s="9"/>
      <c r="H409" s="8"/>
      <c r="I409" s="9"/>
      <c r="J409" s="9"/>
      <c r="K409" s="9"/>
      <c r="L409" s="9"/>
    </row>
    <row r="410" spans="1:12" ht="15" customHeight="1" x14ac:dyDescent="0.2">
      <c r="A410" s="2"/>
      <c r="B410" s="3"/>
      <c r="C410" s="2"/>
      <c r="D410" s="3"/>
      <c r="E410" s="3"/>
      <c r="F410" s="3"/>
      <c r="G410" s="3"/>
      <c r="H410" s="2"/>
      <c r="I410" s="3"/>
      <c r="J410" s="3"/>
      <c r="K410" s="3"/>
      <c r="L410" s="3"/>
    </row>
    <row r="411" spans="1:12" ht="15" customHeight="1" x14ac:dyDescent="0.2">
      <c r="A411" s="8"/>
      <c r="B411" s="9"/>
      <c r="C411" s="8"/>
      <c r="D411" s="9"/>
      <c r="E411" s="9"/>
      <c r="F411" s="9"/>
      <c r="G411" s="9"/>
      <c r="H411" s="8"/>
      <c r="I411" s="9"/>
      <c r="J411" s="9"/>
      <c r="K411" s="9"/>
      <c r="L411" s="9"/>
    </row>
    <row r="412" spans="1:12" ht="15" customHeight="1" x14ac:dyDescent="0.2">
      <c r="A412" s="2"/>
      <c r="B412" s="3"/>
      <c r="C412" s="2"/>
      <c r="D412" s="3"/>
      <c r="E412" s="3"/>
      <c r="F412" s="3"/>
      <c r="G412" s="3"/>
      <c r="H412" s="2"/>
      <c r="I412" s="3"/>
      <c r="J412" s="3"/>
      <c r="K412" s="3"/>
      <c r="L412" s="3"/>
    </row>
    <row r="413" spans="1:12" ht="15" customHeight="1" x14ac:dyDescent="0.2">
      <c r="A413" s="8"/>
      <c r="B413" s="9"/>
      <c r="C413" s="8"/>
      <c r="D413" s="9"/>
      <c r="E413" s="9"/>
      <c r="F413" s="9"/>
      <c r="G413" s="9"/>
      <c r="H413" s="8"/>
      <c r="I413" s="9"/>
      <c r="J413" s="9"/>
      <c r="K413" s="9"/>
      <c r="L413" s="9"/>
    </row>
    <row r="414" spans="1:12" ht="15" customHeight="1" x14ac:dyDescent="0.2">
      <c r="A414" s="2"/>
      <c r="B414" s="3"/>
      <c r="C414" s="2"/>
      <c r="D414" s="3"/>
      <c r="E414" s="3"/>
      <c r="F414" s="3"/>
      <c r="G414" s="3"/>
      <c r="H414" s="2"/>
      <c r="I414" s="3"/>
      <c r="J414" s="3"/>
      <c r="K414" s="3"/>
      <c r="L414" s="3"/>
    </row>
    <row r="415" spans="1:12" ht="15" customHeight="1" x14ac:dyDescent="0.2">
      <c r="A415" s="8"/>
      <c r="B415" s="9"/>
      <c r="C415" s="8"/>
      <c r="D415" s="9"/>
      <c r="E415" s="9"/>
      <c r="F415" s="9"/>
      <c r="G415" s="9"/>
      <c r="H415" s="8"/>
      <c r="I415" s="9"/>
      <c r="J415" s="9"/>
      <c r="K415" s="9"/>
      <c r="L415" s="9"/>
    </row>
    <row r="416" spans="1:12" ht="15" customHeight="1" x14ac:dyDescent="0.2">
      <c r="A416" s="2"/>
      <c r="B416" s="3"/>
      <c r="C416" s="2"/>
      <c r="D416" s="3"/>
      <c r="E416" s="3"/>
      <c r="F416" s="3"/>
      <c r="G416" s="3"/>
      <c r="H416" s="2"/>
      <c r="I416" s="3"/>
      <c r="J416" s="3"/>
      <c r="K416" s="3"/>
      <c r="L416" s="3"/>
    </row>
    <row r="417" spans="1:12" ht="15" customHeight="1" x14ac:dyDescent="0.2">
      <c r="A417" s="8"/>
      <c r="B417" s="9"/>
      <c r="C417" s="8"/>
      <c r="D417" s="9"/>
      <c r="E417" s="9"/>
      <c r="F417" s="9"/>
      <c r="G417" s="9"/>
      <c r="H417" s="8"/>
      <c r="I417" s="9"/>
      <c r="J417" s="9"/>
      <c r="K417" s="9"/>
      <c r="L417" s="9"/>
    </row>
    <row r="418" spans="1:12" ht="15" customHeight="1" x14ac:dyDescent="0.2">
      <c r="A418" s="2"/>
      <c r="B418" s="3"/>
      <c r="C418" s="2"/>
      <c r="D418" s="3"/>
      <c r="E418" s="3"/>
      <c r="F418" s="3"/>
      <c r="G418" s="3"/>
      <c r="H418" s="2"/>
      <c r="I418" s="3"/>
      <c r="J418" s="3"/>
      <c r="K418" s="3"/>
      <c r="L418" s="3"/>
    </row>
    <row r="419" spans="1:12" ht="15" customHeight="1" x14ac:dyDescent="0.2">
      <c r="A419" s="8"/>
      <c r="B419" s="9"/>
      <c r="C419" s="8"/>
      <c r="D419" s="9"/>
      <c r="E419" s="9"/>
      <c r="F419" s="9"/>
      <c r="G419" s="9"/>
      <c r="H419" s="8"/>
      <c r="I419" s="9"/>
      <c r="J419" s="9"/>
      <c r="K419" s="9"/>
      <c r="L419" s="9"/>
    </row>
    <row r="420" spans="1:12" ht="15" customHeight="1" x14ac:dyDescent="0.2">
      <c r="A420" s="2"/>
      <c r="B420" s="3"/>
      <c r="C420" s="2"/>
      <c r="D420" s="3"/>
      <c r="E420" s="3"/>
      <c r="F420" s="3"/>
      <c r="G420" s="3"/>
      <c r="H420" s="2"/>
      <c r="I420" s="3"/>
      <c r="J420" s="3"/>
      <c r="K420" s="3"/>
      <c r="L420" s="3"/>
    </row>
    <row r="421" spans="1:12" ht="15" customHeight="1" x14ac:dyDescent="0.2">
      <c r="A421" s="8"/>
      <c r="B421" s="9"/>
      <c r="C421" s="8"/>
      <c r="D421" s="9"/>
      <c r="E421" s="9"/>
      <c r="F421" s="9"/>
      <c r="G421" s="9"/>
      <c r="H421" s="8"/>
      <c r="I421" s="9"/>
      <c r="J421" s="9"/>
      <c r="K421" s="9"/>
      <c r="L421" s="9"/>
    </row>
    <row r="422" spans="1:12" ht="15" customHeight="1" x14ac:dyDescent="0.2">
      <c r="A422" s="2"/>
      <c r="B422" s="3"/>
      <c r="C422" s="2"/>
      <c r="D422" s="3"/>
      <c r="E422" s="3"/>
      <c r="F422" s="3"/>
      <c r="G422" s="3"/>
      <c r="H422" s="2"/>
      <c r="I422" s="3"/>
      <c r="J422" s="3"/>
      <c r="K422" s="3"/>
      <c r="L422" s="3"/>
    </row>
    <row r="423" spans="1:12" ht="15" customHeight="1" x14ac:dyDescent="0.2">
      <c r="A423" s="8"/>
      <c r="B423" s="9"/>
      <c r="C423" s="8"/>
      <c r="D423" s="9"/>
      <c r="E423" s="9"/>
      <c r="F423" s="9"/>
      <c r="G423" s="9"/>
      <c r="H423" s="8"/>
      <c r="I423" s="9"/>
      <c r="J423" s="9"/>
      <c r="K423" s="9"/>
      <c r="L423" s="9"/>
    </row>
    <row r="424" spans="1:12" ht="15" customHeight="1" x14ac:dyDescent="0.2">
      <c r="A424" s="2"/>
      <c r="B424" s="3"/>
      <c r="C424" s="2"/>
      <c r="D424" s="3"/>
      <c r="E424" s="3"/>
      <c r="F424" s="3"/>
      <c r="G424" s="3"/>
      <c r="H424" s="2"/>
      <c r="I424" s="3"/>
      <c r="J424" s="3"/>
      <c r="K424" s="3"/>
      <c r="L424" s="3"/>
    </row>
    <row r="425" spans="1:12" ht="15" customHeight="1" x14ac:dyDescent="0.2">
      <c r="A425" s="8"/>
      <c r="B425" s="9"/>
      <c r="C425" s="8"/>
      <c r="D425" s="9"/>
      <c r="E425" s="9"/>
      <c r="F425" s="9"/>
      <c r="G425" s="9"/>
      <c r="H425" s="8"/>
      <c r="I425" s="9"/>
      <c r="J425" s="9"/>
      <c r="K425" s="9"/>
      <c r="L425" s="9"/>
    </row>
    <row r="426" spans="1:12" ht="15" customHeight="1" x14ac:dyDescent="0.2">
      <c r="A426" s="2"/>
      <c r="B426" s="3"/>
      <c r="C426" s="2"/>
      <c r="D426" s="3"/>
      <c r="E426" s="3"/>
      <c r="F426" s="3"/>
      <c r="G426" s="3"/>
      <c r="H426" s="2"/>
      <c r="I426" s="3"/>
      <c r="J426" s="3"/>
      <c r="K426" s="3"/>
      <c r="L426" s="3"/>
    </row>
    <row r="427" spans="1:12" ht="15" customHeight="1" x14ac:dyDescent="0.2">
      <c r="A427" s="8"/>
      <c r="B427" s="9"/>
      <c r="C427" s="8"/>
      <c r="D427" s="9"/>
      <c r="E427" s="9"/>
      <c r="F427" s="9"/>
      <c r="G427" s="9"/>
      <c r="H427" s="8"/>
      <c r="I427" s="9"/>
      <c r="J427" s="9"/>
      <c r="K427" s="9"/>
      <c r="L427" s="9"/>
    </row>
    <row r="428" spans="1:12" ht="15" customHeight="1" x14ac:dyDescent="0.2">
      <c r="A428" s="2"/>
      <c r="B428" s="3"/>
      <c r="C428" s="2"/>
      <c r="D428" s="3"/>
      <c r="E428" s="3"/>
      <c r="F428" s="3"/>
      <c r="G428" s="3"/>
      <c r="H428" s="2"/>
      <c r="I428" s="3"/>
      <c r="J428" s="3"/>
      <c r="K428" s="3"/>
      <c r="L428" s="3"/>
    </row>
    <row r="429" spans="1:12" ht="15" customHeight="1" x14ac:dyDescent="0.2">
      <c r="A429" s="8"/>
      <c r="B429" s="9"/>
      <c r="C429" s="8"/>
      <c r="D429" s="9"/>
      <c r="E429" s="9"/>
      <c r="F429" s="9"/>
      <c r="G429" s="9"/>
      <c r="H429" s="8"/>
      <c r="I429" s="9"/>
      <c r="J429" s="9"/>
      <c r="K429" s="9"/>
      <c r="L429" s="9"/>
    </row>
    <row r="430" spans="1:12" ht="15" customHeight="1" x14ac:dyDescent="0.2">
      <c r="A430" s="2"/>
      <c r="B430" s="3"/>
      <c r="C430" s="2"/>
      <c r="D430" s="3"/>
      <c r="E430" s="3"/>
      <c r="F430" s="3"/>
      <c r="G430" s="3"/>
      <c r="H430" s="2"/>
      <c r="I430" s="3"/>
      <c r="J430" s="3"/>
      <c r="K430" s="3"/>
      <c r="L430" s="3"/>
    </row>
    <row r="431" spans="1:12" ht="15" customHeight="1" x14ac:dyDescent="0.2">
      <c r="A431" s="8"/>
      <c r="B431" s="9"/>
      <c r="C431" s="8"/>
      <c r="D431" s="9"/>
      <c r="E431" s="9"/>
      <c r="F431" s="9"/>
      <c r="G431" s="9"/>
      <c r="H431" s="8"/>
      <c r="I431" s="9"/>
      <c r="J431" s="9"/>
      <c r="K431" s="9"/>
      <c r="L431" s="9"/>
    </row>
    <row r="432" spans="1:12" ht="15" customHeight="1" x14ac:dyDescent="0.2">
      <c r="A432" s="2"/>
      <c r="B432" s="3"/>
      <c r="C432" s="2"/>
      <c r="D432" s="3"/>
      <c r="E432" s="3"/>
      <c r="F432" s="3"/>
      <c r="G432" s="3"/>
      <c r="H432" s="2"/>
      <c r="I432" s="3"/>
      <c r="J432" s="3"/>
      <c r="K432" s="3"/>
      <c r="L432" s="3"/>
    </row>
    <row r="433" spans="1:12" ht="15" customHeight="1" x14ac:dyDescent="0.2">
      <c r="A433" s="8"/>
      <c r="B433" s="9"/>
      <c r="C433" s="8"/>
      <c r="D433" s="9"/>
      <c r="E433" s="9"/>
      <c r="F433" s="9"/>
      <c r="G433" s="9"/>
      <c r="H433" s="8"/>
      <c r="I433" s="9"/>
      <c r="J433" s="9"/>
      <c r="K433" s="9"/>
      <c r="L433" s="9"/>
    </row>
    <row r="434" spans="1:12" ht="15" customHeight="1" x14ac:dyDescent="0.2">
      <c r="A434" s="2"/>
      <c r="B434" s="3"/>
      <c r="C434" s="2"/>
      <c r="D434" s="3"/>
      <c r="E434" s="3"/>
      <c r="F434" s="3"/>
      <c r="G434" s="3"/>
      <c r="H434" s="2"/>
      <c r="I434" s="3"/>
      <c r="J434" s="3"/>
      <c r="K434" s="3"/>
      <c r="L434" s="3"/>
    </row>
    <row r="435" spans="1:12" ht="15" customHeight="1" x14ac:dyDescent="0.2">
      <c r="A435" s="8"/>
      <c r="B435" s="9"/>
      <c r="C435" s="8"/>
      <c r="D435" s="9"/>
      <c r="E435" s="9"/>
      <c r="F435" s="9"/>
      <c r="G435" s="9"/>
      <c r="H435" s="8"/>
      <c r="I435" s="9"/>
      <c r="J435" s="9"/>
      <c r="K435" s="9"/>
      <c r="L435" s="9"/>
    </row>
    <row r="436" spans="1:12" ht="15" customHeight="1" x14ac:dyDescent="0.2">
      <c r="A436" s="2"/>
      <c r="B436" s="3"/>
      <c r="C436" s="2"/>
      <c r="D436" s="3"/>
      <c r="E436" s="3"/>
      <c r="F436" s="3"/>
      <c r="G436" s="3"/>
      <c r="H436" s="2"/>
      <c r="I436" s="3"/>
      <c r="J436" s="3"/>
      <c r="K436" s="3"/>
      <c r="L436" s="3"/>
    </row>
    <row r="437" spans="1:12" ht="15" customHeight="1" x14ac:dyDescent="0.2">
      <c r="A437" s="8"/>
      <c r="B437" s="9"/>
      <c r="C437" s="8"/>
      <c r="D437" s="9"/>
      <c r="E437" s="9"/>
      <c r="F437" s="9"/>
      <c r="G437" s="9"/>
      <c r="H437" s="8"/>
      <c r="I437" s="9"/>
      <c r="J437" s="9"/>
      <c r="K437" s="9"/>
      <c r="L437" s="9"/>
    </row>
    <row r="438" spans="1:12" ht="15" customHeight="1" x14ac:dyDescent="0.2">
      <c r="A438" s="2"/>
      <c r="B438" s="3"/>
      <c r="C438" s="2"/>
      <c r="D438" s="3"/>
      <c r="E438" s="3"/>
      <c r="F438" s="3"/>
      <c r="G438" s="3"/>
      <c r="H438" s="2"/>
      <c r="I438" s="3"/>
      <c r="J438" s="3"/>
      <c r="K438" s="3"/>
      <c r="L438" s="3"/>
    </row>
    <row r="439" spans="1:12" ht="15" customHeight="1" x14ac:dyDescent="0.2">
      <c r="A439" s="8"/>
      <c r="B439" s="9"/>
      <c r="C439" s="8"/>
      <c r="D439" s="9"/>
      <c r="E439" s="9"/>
      <c r="F439" s="9"/>
      <c r="G439" s="9"/>
      <c r="H439" s="8"/>
      <c r="I439" s="9"/>
      <c r="J439" s="9"/>
      <c r="K439" s="9"/>
      <c r="L439" s="9"/>
    </row>
    <row r="440" spans="1:12" ht="15" customHeight="1" x14ac:dyDescent="0.2">
      <c r="A440" s="2"/>
      <c r="B440" s="3"/>
      <c r="C440" s="2"/>
      <c r="D440" s="3"/>
      <c r="E440" s="3"/>
      <c r="F440" s="3"/>
      <c r="G440" s="3"/>
      <c r="H440" s="2"/>
      <c r="I440" s="3"/>
      <c r="J440" s="3"/>
      <c r="K440" s="3"/>
      <c r="L440" s="3"/>
    </row>
    <row r="441" spans="1:12" ht="15" customHeight="1" x14ac:dyDescent="0.2">
      <c r="A441" s="8"/>
      <c r="B441" s="9"/>
      <c r="C441" s="8"/>
      <c r="D441" s="9"/>
      <c r="E441" s="9"/>
      <c r="F441" s="9"/>
      <c r="G441" s="9"/>
      <c r="H441" s="8"/>
      <c r="I441" s="9"/>
      <c r="J441" s="9"/>
      <c r="K441" s="9"/>
      <c r="L441" s="9"/>
    </row>
    <row r="442" spans="1:12" ht="15" customHeight="1" x14ac:dyDescent="0.2">
      <c r="A442" s="2"/>
      <c r="B442" s="3"/>
      <c r="C442" s="2"/>
      <c r="D442" s="3"/>
      <c r="E442" s="3"/>
      <c r="F442" s="3"/>
      <c r="G442" s="3"/>
      <c r="H442" s="2"/>
      <c r="I442" s="3"/>
      <c r="J442" s="3"/>
      <c r="K442" s="3"/>
      <c r="L442" s="3"/>
    </row>
    <row r="443" spans="1:12" ht="15" customHeight="1" x14ac:dyDescent="0.2">
      <c r="A443" s="8"/>
      <c r="B443" s="9"/>
      <c r="C443" s="8"/>
      <c r="D443" s="9"/>
      <c r="E443" s="9"/>
      <c r="F443" s="9"/>
      <c r="G443" s="9"/>
      <c r="H443" s="8"/>
      <c r="I443" s="9"/>
      <c r="J443" s="9"/>
      <c r="K443" s="9"/>
      <c r="L443" s="9"/>
    </row>
    <row r="444" spans="1:12" ht="15" customHeight="1" x14ac:dyDescent="0.2">
      <c r="A444" s="2"/>
      <c r="B444" s="3"/>
      <c r="C444" s="2"/>
      <c r="D444" s="3"/>
      <c r="E444" s="3"/>
      <c r="F444" s="3"/>
      <c r="G444" s="3"/>
      <c r="H444" s="2"/>
      <c r="I444" s="3"/>
      <c r="J444" s="3"/>
      <c r="K444" s="3"/>
      <c r="L444" s="3"/>
    </row>
    <row r="445" spans="1:12" ht="15" customHeight="1" x14ac:dyDescent="0.2">
      <c r="A445" s="8"/>
      <c r="B445" s="9"/>
      <c r="C445" s="8"/>
      <c r="D445" s="9"/>
      <c r="E445" s="9"/>
      <c r="F445" s="9"/>
      <c r="G445" s="9"/>
      <c r="H445" s="8"/>
      <c r="I445" s="9"/>
      <c r="J445" s="9"/>
      <c r="K445" s="9"/>
      <c r="L445" s="9"/>
    </row>
    <row r="446" spans="1:12" ht="15" customHeight="1" x14ac:dyDescent="0.2">
      <c r="A446" s="2"/>
      <c r="B446" s="3"/>
      <c r="C446" s="2"/>
      <c r="D446" s="3"/>
      <c r="E446" s="3"/>
      <c r="F446" s="3"/>
      <c r="G446" s="3"/>
      <c r="H446" s="2"/>
      <c r="I446" s="3"/>
      <c r="J446" s="3"/>
      <c r="K446" s="3"/>
      <c r="L446" s="3"/>
    </row>
    <row r="447" spans="1:12" ht="15" customHeight="1" x14ac:dyDescent="0.2">
      <c r="A447" s="8"/>
      <c r="B447" s="9"/>
      <c r="C447" s="8"/>
      <c r="D447" s="9"/>
      <c r="E447" s="9"/>
      <c r="F447" s="9"/>
      <c r="G447" s="9"/>
      <c r="H447" s="8"/>
      <c r="I447" s="9"/>
      <c r="J447" s="9"/>
      <c r="K447" s="9"/>
      <c r="L447" s="9"/>
    </row>
    <row r="448" spans="1:12" ht="15" customHeight="1" x14ac:dyDescent="0.2">
      <c r="A448" s="2"/>
      <c r="B448" s="3"/>
      <c r="C448" s="2"/>
      <c r="D448" s="3"/>
      <c r="E448" s="3"/>
      <c r="F448" s="3"/>
      <c r="G448" s="3"/>
      <c r="H448" s="2"/>
      <c r="I448" s="3"/>
      <c r="J448" s="3"/>
      <c r="K448" s="3"/>
      <c r="L448" s="3"/>
    </row>
    <row r="449" spans="1:12" ht="15" customHeight="1" x14ac:dyDescent="0.2">
      <c r="A449" s="8"/>
      <c r="B449" s="9"/>
      <c r="C449" s="8"/>
      <c r="D449" s="9"/>
      <c r="E449" s="9"/>
      <c r="F449" s="9"/>
      <c r="G449" s="9"/>
      <c r="H449" s="8"/>
      <c r="I449" s="9"/>
      <c r="J449" s="9"/>
      <c r="K449" s="9"/>
      <c r="L449" s="9"/>
    </row>
    <row r="450" spans="1:12" ht="15" customHeight="1" x14ac:dyDescent="0.2">
      <c r="A450" s="2"/>
      <c r="B450" s="3"/>
      <c r="C450" s="2"/>
      <c r="D450" s="3"/>
      <c r="E450" s="3"/>
      <c r="F450" s="3"/>
      <c r="G450" s="3"/>
      <c r="H450" s="2"/>
      <c r="I450" s="3"/>
      <c r="J450" s="3"/>
      <c r="K450" s="3"/>
      <c r="L450" s="3"/>
    </row>
    <row r="451" spans="1:12" ht="15" customHeight="1" x14ac:dyDescent="0.2">
      <c r="A451" s="8"/>
      <c r="B451" s="9"/>
      <c r="C451" s="8"/>
      <c r="D451" s="9"/>
      <c r="E451" s="9"/>
      <c r="F451" s="9"/>
      <c r="G451" s="9"/>
      <c r="H451" s="8"/>
      <c r="I451" s="9"/>
      <c r="J451" s="9"/>
      <c r="K451" s="9"/>
      <c r="L451" s="9"/>
    </row>
    <row r="452" spans="1:12" ht="15" customHeight="1" x14ac:dyDescent="0.2">
      <c r="A452" s="2"/>
      <c r="B452" s="3"/>
      <c r="C452" s="2"/>
      <c r="D452" s="3"/>
      <c r="E452" s="3"/>
      <c r="F452" s="3"/>
      <c r="G452" s="3"/>
      <c r="H452" s="2"/>
      <c r="I452" s="3"/>
      <c r="J452" s="3"/>
      <c r="K452" s="3"/>
      <c r="L452" s="3"/>
    </row>
    <row r="453" spans="1:12" ht="15" customHeight="1" x14ac:dyDescent="0.2">
      <c r="A453" s="8"/>
      <c r="B453" s="9"/>
      <c r="C453" s="8"/>
      <c r="D453" s="9"/>
      <c r="E453" s="9"/>
      <c r="F453" s="9"/>
      <c r="G453" s="9"/>
      <c r="H453" s="8"/>
      <c r="I453" s="9"/>
      <c r="J453" s="9"/>
      <c r="K453" s="9"/>
      <c r="L453" s="9"/>
    </row>
    <row r="454" spans="1:12" ht="15" customHeight="1" x14ac:dyDescent="0.2">
      <c r="A454" s="2"/>
      <c r="B454" s="3"/>
      <c r="C454" s="2"/>
      <c r="D454" s="3"/>
      <c r="E454" s="3"/>
      <c r="F454" s="3"/>
      <c r="G454" s="3"/>
      <c r="H454" s="2"/>
      <c r="I454" s="3"/>
      <c r="J454" s="3"/>
      <c r="K454" s="3"/>
      <c r="L454" s="3"/>
    </row>
    <row r="455" spans="1:12" ht="15" customHeight="1" x14ac:dyDescent="0.2">
      <c r="A455" s="8"/>
      <c r="B455" s="9"/>
      <c r="C455" s="8"/>
      <c r="D455" s="9"/>
      <c r="E455" s="9"/>
      <c r="F455" s="9"/>
      <c r="G455" s="9"/>
      <c r="H455" s="8"/>
      <c r="I455" s="9"/>
      <c r="J455" s="9"/>
      <c r="K455" s="9"/>
      <c r="L455" s="9"/>
    </row>
    <row r="456" spans="1:12" ht="15" customHeight="1" x14ac:dyDescent="0.2">
      <c r="A456" s="2"/>
      <c r="B456" s="3"/>
      <c r="C456" s="2"/>
      <c r="D456" s="3"/>
      <c r="E456" s="3"/>
      <c r="F456" s="3"/>
      <c r="G456" s="3"/>
      <c r="H456" s="2"/>
      <c r="I456" s="3"/>
      <c r="J456" s="3"/>
      <c r="K456" s="3"/>
      <c r="L456" s="3"/>
    </row>
    <row r="457" spans="1:12" ht="15" customHeight="1" x14ac:dyDescent="0.2">
      <c r="A457" s="8"/>
      <c r="B457" s="9"/>
      <c r="C457" s="8"/>
      <c r="D457" s="9"/>
      <c r="E457" s="9"/>
      <c r="F457" s="9"/>
      <c r="G457" s="9"/>
      <c r="H457" s="8"/>
      <c r="I457" s="9"/>
      <c r="J457" s="9"/>
      <c r="K457" s="9"/>
      <c r="L457" s="9"/>
    </row>
    <row r="458" spans="1:12" ht="15" customHeight="1" x14ac:dyDescent="0.2">
      <c r="A458" s="2"/>
      <c r="B458" s="3"/>
      <c r="C458" s="2"/>
      <c r="D458" s="3"/>
      <c r="E458" s="3"/>
      <c r="F458" s="3"/>
      <c r="G458" s="3"/>
      <c r="H458" s="2"/>
      <c r="I458" s="3"/>
      <c r="J458" s="3"/>
      <c r="K458" s="3"/>
      <c r="L458" s="3"/>
    </row>
    <row r="459" spans="1:12" ht="15" customHeight="1" x14ac:dyDescent="0.2">
      <c r="A459" s="8"/>
      <c r="B459" s="9"/>
      <c r="C459" s="8"/>
      <c r="D459" s="9"/>
      <c r="E459" s="9"/>
      <c r="F459" s="9"/>
      <c r="G459" s="9"/>
      <c r="H459" s="8"/>
      <c r="I459" s="9"/>
      <c r="J459" s="9"/>
      <c r="K459" s="9"/>
      <c r="L459" s="9"/>
    </row>
    <row r="460" spans="1:12" ht="15" customHeight="1" x14ac:dyDescent="0.2">
      <c r="A460" s="2"/>
      <c r="B460" s="3"/>
      <c r="C460" s="2"/>
      <c r="D460" s="3"/>
      <c r="E460" s="3"/>
      <c r="F460" s="3"/>
      <c r="G460" s="3"/>
      <c r="H460" s="2"/>
      <c r="I460" s="3"/>
      <c r="J460" s="3"/>
      <c r="K460" s="3"/>
      <c r="L460" s="3"/>
    </row>
    <row r="461" spans="1:12" ht="15" customHeight="1" x14ac:dyDescent="0.2">
      <c r="A461" s="8"/>
      <c r="B461" s="9"/>
      <c r="C461" s="8"/>
      <c r="D461" s="9"/>
      <c r="E461" s="9"/>
      <c r="F461" s="9"/>
      <c r="G461" s="9"/>
      <c r="H461" s="8"/>
      <c r="I461" s="9"/>
      <c r="J461" s="9"/>
      <c r="K461" s="9"/>
      <c r="L461" s="9"/>
    </row>
    <row r="462" spans="1:12" ht="15" customHeight="1" x14ac:dyDescent="0.2">
      <c r="A462" s="2"/>
      <c r="B462" s="3"/>
      <c r="C462" s="2"/>
      <c r="D462" s="3"/>
      <c r="E462" s="3"/>
      <c r="F462" s="3"/>
      <c r="G462" s="3"/>
      <c r="H462" s="2"/>
      <c r="I462" s="3"/>
      <c r="J462" s="3"/>
      <c r="K462" s="3"/>
      <c r="L462" s="3"/>
    </row>
    <row r="463" spans="1:12" ht="15" customHeight="1" x14ac:dyDescent="0.2">
      <c r="A463" s="8"/>
      <c r="B463" s="9"/>
      <c r="C463" s="8"/>
      <c r="D463" s="9"/>
      <c r="E463" s="9"/>
      <c r="F463" s="9"/>
      <c r="G463" s="9"/>
      <c r="H463" s="8"/>
      <c r="I463" s="9"/>
      <c r="J463" s="9"/>
      <c r="K463" s="9"/>
      <c r="L463" s="9"/>
    </row>
    <row r="464" spans="1:12" ht="15" customHeight="1" x14ac:dyDescent="0.2">
      <c r="A464" s="2"/>
      <c r="B464" s="3"/>
      <c r="C464" s="2"/>
      <c r="D464" s="3"/>
      <c r="E464" s="3"/>
      <c r="F464" s="3"/>
      <c r="G464" s="3"/>
      <c r="H464" s="2"/>
      <c r="I464" s="3"/>
      <c r="J464" s="3"/>
      <c r="K464" s="3"/>
      <c r="L464" s="3"/>
    </row>
    <row r="465" spans="1:12" ht="15" customHeight="1" x14ac:dyDescent="0.2">
      <c r="A465" s="8"/>
      <c r="B465" s="9"/>
      <c r="C465" s="8"/>
      <c r="D465" s="9"/>
      <c r="E465" s="9"/>
      <c r="F465" s="9"/>
      <c r="G465" s="9"/>
      <c r="H465" s="8"/>
      <c r="I465" s="9"/>
      <c r="J465" s="9"/>
      <c r="K465" s="9"/>
      <c r="L465" s="9"/>
    </row>
    <row r="466" spans="1:12" ht="15" customHeight="1" x14ac:dyDescent="0.2">
      <c r="A466" s="2"/>
      <c r="B466" s="3"/>
      <c r="C466" s="2"/>
      <c r="D466" s="3"/>
      <c r="E466" s="3"/>
      <c r="F466" s="3"/>
      <c r="G466" s="3"/>
      <c r="H466" s="2"/>
      <c r="I466" s="3"/>
      <c r="J466" s="3"/>
      <c r="K466" s="3"/>
      <c r="L466" s="3"/>
    </row>
    <row r="467" spans="1:12" ht="15" customHeight="1" x14ac:dyDescent="0.2">
      <c r="A467" s="8"/>
      <c r="B467" s="9"/>
      <c r="C467" s="8"/>
      <c r="D467" s="9"/>
      <c r="E467" s="9"/>
      <c r="F467" s="9"/>
      <c r="G467" s="9"/>
      <c r="H467" s="8"/>
      <c r="I467" s="9"/>
      <c r="J467" s="9"/>
      <c r="K467" s="9"/>
      <c r="L467" s="9"/>
    </row>
    <row r="468" spans="1:12" ht="15" customHeight="1" x14ac:dyDescent="0.2">
      <c r="A468" s="2"/>
      <c r="B468" s="3"/>
      <c r="C468" s="2"/>
      <c r="D468" s="3"/>
      <c r="E468" s="3"/>
      <c r="F468" s="3"/>
      <c r="G468" s="3"/>
      <c r="H468" s="2"/>
      <c r="I468" s="3"/>
      <c r="J468" s="3"/>
      <c r="K468" s="3"/>
      <c r="L468" s="3"/>
    </row>
    <row r="469" spans="1:12" ht="15" customHeight="1" x14ac:dyDescent="0.2">
      <c r="A469" s="8"/>
      <c r="B469" s="9"/>
      <c r="C469" s="8"/>
      <c r="D469" s="9"/>
      <c r="E469" s="9"/>
      <c r="F469" s="9"/>
      <c r="G469" s="9"/>
      <c r="H469" s="8"/>
      <c r="I469" s="9"/>
      <c r="J469" s="9"/>
      <c r="K469" s="9"/>
      <c r="L469" s="9"/>
    </row>
    <row r="470" spans="1:12" ht="15" customHeight="1" x14ac:dyDescent="0.2">
      <c r="A470" s="2"/>
      <c r="B470" s="3"/>
      <c r="C470" s="2"/>
      <c r="D470" s="3"/>
      <c r="E470" s="3"/>
      <c r="F470" s="3"/>
      <c r="G470" s="3"/>
      <c r="H470" s="2"/>
      <c r="I470" s="3"/>
      <c r="J470" s="3"/>
      <c r="K470" s="3"/>
      <c r="L470" s="3"/>
    </row>
    <row r="471" spans="1:12" ht="15" customHeight="1" x14ac:dyDescent="0.2">
      <c r="A471" s="8"/>
      <c r="B471" s="9"/>
      <c r="C471" s="8"/>
      <c r="D471" s="9"/>
      <c r="E471" s="9"/>
      <c r="F471" s="9"/>
      <c r="G471" s="9"/>
      <c r="H471" s="8"/>
      <c r="I471" s="9"/>
      <c r="J471" s="9"/>
      <c r="K471" s="9"/>
      <c r="L471" s="9"/>
    </row>
    <row r="472" spans="1:12" ht="15" customHeight="1" x14ac:dyDescent="0.2">
      <c r="A472" s="2"/>
      <c r="B472" s="3"/>
      <c r="C472" s="2"/>
      <c r="D472" s="3"/>
      <c r="E472" s="3"/>
      <c r="F472" s="3"/>
      <c r="G472" s="3"/>
      <c r="H472" s="2"/>
      <c r="I472" s="3"/>
      <c r="J472" s="3"/>
      <c r="K472" s="3"/>
      <c r="L472" s="3"/>
    </row>
    <row r="473" spans="1:12" ht="15" customHeight="1" x14ac:dyDescent="0.2">
      <c r="A473" s="8"/>
      <c r="B473" s="9"/>
      <c r="C473" s="8"/>
      <c r="D473" s="9"/>
      <c r="E473" s="9"/>
      <c r="F473" s="9"/>
      <c r="G473" s="9"/>
      <c r="H473" s="8"/>
      <c r="I473" s="9"/>
      <c r="J473" s="9"/>
      <c r="K473" s="9"/>
      <c r="L473" s="9"/>
    </row>
    <row r="474" spans="1:12" ht="15" customHeight="1" x14ac:dyDescent="0.2">
      <c r="A474" s="2"/>
      <c r="B474" s="3"/>
      <c r="C474" s="2"/>
      <c r="D474" s="3"/>
      <c r="E474" s="3"/>
      <c r="F474" s="3"/>
      <c r="G474" s="3"/>
      <c r="H474" s="2"/>
      <c r="I474" s="3"/>
      <c r="J474" s="3"/>
      <c r="K474" s="3"/>
      <c r="L474" s="3"/>
    </row>
    <row r="475" spans="1:12" ht="15" customHeight="1" x14ac:dyDescent="0.2">
      <c r="A475" s="8"/>
      <c r="B475" s="9"/>
      <c r="C475" s="8"/>
      <c r="D475" s="9"/>
      <c r="E475" s="9"/>
      <c r="F475" s="9"/>
      <c r="G475" s="9"/>
      <c r="H475" s="8"/>
      <c r="I475" s="9"/>
      <c r="J475" s="9"/>
      <c r="K475" s="9"/>
      <c r="L475" s="9"/>
    </row>
    <row r="476" spans="1:12" ht="15" customHeight="1" x14ac:dyDescent="0.2">
      <c r="A476" s="2"/>
      <c r="B476" s="3"/>
      <c r="C476" s="2"/>
      <c r="D476" s="3"/>
      <c r="E476" s="3"/>
      <c r="F476" s="3"/>
      <c r="G476" s="3"/>
      <c r="H476" s="2"/>
      <c r="I476" s="3"/>
      <c r="J476" s="3"/>
      <c r="K476" s="3"/>
      <c r="L476" s="3"/>
    </row>
    <row r="477" spans="1:12" ht="15" customHeight="1" x14ac:dyDescent="0.2">
      <c r="A477" s="8"/>
      <c r="B477" s="9"/>
      <c r="C477" s="8"/>
      <c r="D477" s="9"/>
      <c r="E477" s="9"/>
      <c r="F477" s="9"/>
      <c r="G477" s="9"/>
      <c r="H477" s="8"/>
      <c r="I477" s="9"/>
      <c r="J477" s="9"/>
      <c r="K477" s="9"/>
      <c r="L477" s="9"/>
    </row>
    <row r="478" spans="1:12" ht="15" customHeight="1" x14ac:dyDescent="0.2">
      <c r="A478" s="2"/>
      <c r="B478" s="3"/>
      <c r="C478" s="2"/>
      <c r="D478" s="3"/>
      <c r="E478" s="3"/>
      <c r="F478" s="3"/>
      <c r="G478" s="3"/>
      <c r="H478" s="2"/>
      <c r="I478" s="3"/>
      <c r="J478" s="3"/>
      <c r="K478" s="3"/>
      <c r="L478" s="3"/>
    </row>
    <row r="479" spans="1:12" ht="15" customHeight="1" x14ac:dyDescent="0.2">
      <c r="A479" s="8"/>
      <c r="B479" s="9"/>
      <c r="C479" s="8"/>
      <c r="D479" s="9"/>
      <c r="E479" s="9"/>
      <c r="F479" s="9"/>
      <c r="G479" s="9"/>
      <c r="H479" s="8"/>
      <c r="I479" s="9"/>
      <c r="J479" s="9"/>
      <c r="K479" s="9"/>
      <c r="L479" s="9"/>
    </row>
    <row r="480" spans="1:12" ht="15" customHeight="1" x14ac:dyDescent="0.2">
      <c r="A480" s="2"/>
      <c r="B480" s="3"/>
      <c r="C480" s="2"/>
      <c r="D480" s="3"/>
      <c r="E480" s="3"/>
      <c r="F480" s="3"/>
      <c r="G480" s="3"/>
      <c r="H480" s="2"/>
      <c r="I480" s="3"/>
      <c r="J480" s="3"/>
      <c r="K480" s="3"/>
      <c r="L480" s="3"/>
    </row>
    <row r="481" spans="1:12" ht="15" customHeight="1" x14ac:dyDescent="0.2">
      <c r="A481" s="8"/>
      <c r="B481" s="9"/>
      <c r="C481" s="8"/>
      <c r="D481" s="9"/>
      <c r="E481" s="9"/>
      <c r="F481" s="9"/>
      <c r="G481" s="9"/>
      <c r="H481" s="8"/>
      <c r="I481" s="9"/>
      <c r="J481" s="9"/>
      <c r="K481" s="9"/>
      <c r="L481" s="9"/>
    </row>
    <row r="482" spans="1:12" ht="15" customHeight="1" x14ac:dyDescent="0.2">
      <c r="A482" s="2"/>
      <c r="B482" s="3"/>
      <c r="C482" s="2"/>
      <c r="D482" s="3"/>
      <c r="E482" s="3"/>
      <c r="F482" s="3"/>
      <c r="G482" s="3"/>
      <c r="H482" s="2"/>
      <c r="I482" s="3"/>
      <c r="J482" s="3"/>
      <c r="K482" s="3"/>
      <c r="L482" s="3"/>
    </row>
    <row r="483" spans="1:12" ht="15" customHeight="1" x14ac:dyDescent="0.2">
      <c r="A483" s="8"/>
      <c r="B483" s="9"/>
      <c r="C483" s="8"/>
      <c r="D483" s="9"/>
      <c r="E483" s="9"/>
      <c r="F483" s="9"/>
      <c r="G483" s="9"/>
      <c r="H483" s="8"/>
      <c r="I483" s="9"/>
      <c r="J483" s="9"/>
      <c r="K483" s="9"/>
      <c r="L483" s="9"/>
    </row>
    <row r="484" spans="1:12" ht="15" customHeight="1" x14ac:dyDescent="0.2">
      <c r="A484" s="2"/>
      <c r="B484" s="3"/>
      <c r="C484" s="2"/>
      <c r="D484" s="3"/>
      <c r="E484" s="3"/>
      <c r="F484" s="3"/>
      <c r="G484" s="3"/>
      <c r="H484" s="2"/>
      <c r="I484" s="3"/>
      <c r="J484" s="3"/>
      <c r="K484" s="3"/>
      <c r="L484" s="3"/>
    </row>
    <row r="485" spans="1:12" ht="15" customHeight="1" x14ac:dyDescent="0.2">
      <c r="A485" s="8"/>
      <c r="B485" s="9"/>
      <c r="C485" s="8"/>
      <c r="D485" s="9"/>
      <c r="E485" s="9"/>
      <c r="F485" s="9"/>
      <c r="G485" s="9"/>
      <c r="H485" s="8"/>
      <c r="I485" s="9"/>
      <c r="J485" s="9"/>
      <c r="K485" s="9"/>
      <c r="L485" s="9"/>
    </row>
    <row r="486" spans="1:12" ht="15" customHeight="1" x14ac:dyDescent="0.2">
      <c r="A486" s="2"/>
      <c r="B486" s="3"/>
      <c r="C486" s="2"/>
      <c r="D486" s="3"/>
      <c r="E486" s="3"/>
      <c r="F486" s="3"/>
      <c r="G486" s="3"/>
      <c r="H486" s="2"/>
      <c r="I486" s="3"/>
      <c r="J486" s="3"/>
      <c r="K486" s="3"/>
      <c r="L486" s="3"/>
    </row>
    <row r="487" spans="1:12" ht="15" customHeight="1" x14ac:dyDescent="0.2">
      <c r="A487" s="8"/>
      <c r="B487" s="9"/>
      <c r="C487" s="8"/>
      <c r="D487" s="9"/>
      <c r="E487" s="9"/>
      <c r="F487" s="9"/>
      <c r="G487" s="9"/>
      <c r="H487" s="8"/>
      <c r="I487" s="9"/>
      <c r="J487" s="9"/>
      <c r="K487" s="9"/>
      <c r="L487" s="9"/>
    </row>
    <row r="488" spans="1:12" ht="15" customHeight="1" x14ac:dyDescent="0.2">
      <c r="A488" s="2"/>
      <c r="B488" s="3"/>
      <c r="C488" s="2"/>
      <c r="D488" s="3"/>
      <c r="E488" s="3"/>
      <c r="F488" s="3"/>
      <c r="G488" s="3"/>
      <c r="H488" s="2"/>
      <c r="I488" s="3"/>
      <c r="J488" s="3"/>
      <c r="K488" s="3"/>
      <c r="L488" s="3"/>
    </row>
    <row r="489" spans="1:12" ht="15" customHeight="1" x14ac:dyDescent="0.2">
      <c r="A489" s="8"/>
      <c r="B489" s="9"/>
      <c r="C489" s="8"/>
      <c r="D489" s="9"/>
      <c r="E489" s="9"/>
      <c r="F489" s="9"/>
      <c r="G489" s="9"/>
      <c r="H489" s="8"/>
      <c r="I489" s="9"/>
      <c r="J489" s="9"/>
      <c r="K489" s="9"/>
      <c r="L489" s="9"/>
    </row>
    <row r="490" spans="1:12" ht="15" customHeight="1" x14ac:dyDescent="0.2">
      <c r="A490" s="2"/>
      <c r="B490" s="3"/>
      <c r="C490" s="2"/>
      <c r="D490" s="3"/>
      <c r="E490" s="3"/>
      <c r="F490" s="3"/>
      <c r="G490" s="3"/>
      <c r="H490" s="2"/>
      <c r="I490" s="3"/>
      <c r="J490" s="3"/>
      <c r="K490" s="3"/>
      <c r="L490" s="3"/>
    </row>
    <row r="491" spans="1:12" ht="15" customHeight="1" x14ac:dyDescent="0.2">
      <c r="A491" s="8"/>
      <c r="B491" s="9"/>
      <c r="C491" s="8"/>
      <c r="D491" s="9"/>
      <c r="E491" s="9"/>
      <c r="F491" s="9"/>
      <c r="G491" s="9"/>
      <c r="H491" s="8"/>
      <c r="I491" s="9"/>
      <c r="J491" s="9"/>
      <c r="K491" s="9"/>
      <c r="L491" s="9"/>
    </row>
    <row r="492" spans="1:12" ht="15" customHeight="1" x14ac:dyDescent="0.2">
      <c r="A492" s="2"/>
      <c r="B492" s="3"/>
      <c r="C492" s="2"/>
      <c r="D492" s="3"/>
      <c r="E492" s="3"/>
      <c r="F492" s="3"/>
      <c r="G492" s="3"/>
      <c r="H492" s="2"/>
      <c r="I492" s="3"/>
      <c r="J492" s="3"/>
      <c r="K492" s="3"/>
      <c r="L492" s="3"/>
    </row>
    <row r="493" spans="1:12" ht="15" customHeight="1" x14ac:dyDescent="0.2">
      <c r="A493" s="8"/>
      <c r="B493" s="9"/>
      <c r="C493" s="8"/>
      <c r="D493" s="9"/>
      <c r="E493" s="9"/>
      <c r="F493" s="9"/>
      <c r="G493" s="9"/>
      <c r="H493" s="8"/>
      <c r="I493" s="9"/>
      <c r="J493" s="9"/>
      <c r="K493" s="9"/>
      <c r="L493" s="9"/>
    </row>
    <row r="494" spans="1:12" ht="15" customHeight="1" x14ac:dyDescent="0.2">
      <c r="A494" s="2"/>
      <c r="B494" s="3"/>
      <c r="C494" s="2"/>
      <c r="D494" s="3"/>
      <c r="E494" s="3"/>
      <c r="F494" s="3"/>
      <c r="G494" s="3"/>
      <c r="H494" s="2"/>
      <c r="I494" s="3"/>
      <c r="J494" s="3"/>
      <c r="K494" s="3"/>
      <c r="L494" s="3"/>
    </row>
    <row r="495" spans="1:12" ht="15" customHeight="1" x14ac:dyDescent="0.2">
      <c r="A495" s="8"/>
      <c r="B495" s="9"/>
      <c r="C495" s="8"/>
      <c r="D495" s="9"/>
      <c r="E495" s="9"/>
      <c r="F495" s="9"/>
      <c r="G495" s="9"/>
      <c r="H495" s="8"/>
      <c r="I495" s="9"/>
      <c r="J495" s="9"/>
      <c r="K495" s="9"/>
      <c r="L495" s="9"/>
    </row>
    <row r="496" spans="1:12" ht="15" customHeight="1" x14ac:dyDescent="0.2">
      <c r="A496" s="2"/>
      <c r="B496" s="3"/>
      <c r="C496" s="2"/>
      <c r="D496" s="3"/>
      <c r="E496" s="3"/>
      <c r="F496" s="3"/>
      <c r="G496" s="3"/>
      <c r="H496" s="2"/>
      <c r="I496" s="3"/>
      <c r="J496" s="3"/>
      <c r="K496" s="3"/>
      <c r="L496" s="3"/>
    </row>
    <row r="497" spans="1:12" ht="15" customHeight="1" x14ac:dyDescent="0.2">
      <c r="A497" s="8"/>
      <c r="B497" s="9"/>
      <c r="C497" s="8"/>
      <c r="D497" s="9"/>
      <c r="E497" s="9"/>
      <c r="F497" s="9"/>
      <c r="G497" s="9"/>
      <c r="H497" s="8"/>
      <c r="I497" s="9"/>
      <c r="J497" s="9"/>
      <c r="K497" s="9"/>
      <c r="L497" s="9"/>
    </row>
    <row r="498" spans="1:12" ht="15" customHeight="1" x14ac:dyDescent="0.2">
      <c r="A498" s="2"/>
      <c r="B498" s="3"/>
      <c r="C498" s="2"/>
      <c r="D498" s="3"/>
      <c r="E498" s="3"/>
      <c r="F498" s="3"/>
      <c r="G498" s="3"/>
      <c r="H498" s="2"/>
      <c r="I498" s="3"/>
      <c r="J498" s="3"/>
      <c r="K498" s="3"/>
      <c r="L498" s="3"/>
    </row>
    <row r="499" spans="1:12" ht="15" customHeight="1" x14ac:dyDescent="0.2">
      <c r="A499" s="8"/>
      <c r="B499" s="9"/>
      <c r="C499" s="8"/>
      <c r="D499" s="9"/>
      <c r="E499" s="9"/>
      <c r="F499" s="9"/>
      <c r="G499" s="9"/>
      <c r="H499" s="8"/>
      <c r="I499" s="9"/>
      <c r="J499" s="9"/>
      <c r="K499" s="9"/>
      <c r="L499" s="9"/>
    </row>
    <row r="500" spans="1:12" ht="15" customHeight="1" x14ac:dyDescent="0.2">
      <c r="A500" s="2"/>
      <c r="B500" s="3"/>
      <c r="C500" s="2"/>
      <c r="D500" s="3"/>
      <c r="E500" s="3"/>
      <c r="F500" s="3"/>
      <c r="G500" s="3"/>
      <c r="H500" s="2"/>
      <c r="I500" s="3"/>
      <c r="J500" s="3"/>
      <c r="K500" s="3"/>
      <c r="L500" s="3"/>
    </row>
    <row r="501" spans="1:12" ht="15" customHeight="1" x14ac:dyDescent="0.2">
      <c r="A501" s="8"/>
      <c r="B501" s="9"/>
      <c r="C501" s="8"/>
      <c r="D501" s="9"/>
      <c r="E501" s="9"/>
      <c r="F501" s="9"/>
      <c r="G501" s="9"/>
      <c r="H501" s="8"/>
      <c r="I501" s="9"/>
      <c r="J501" s="9"/>
      <c r="K501" s="9"/>
      <c r="L501" s="9"/>
    </row>
    <row r="502" spans="1:12" ht="15" customHeight="1" x14ac:dyDescent="0.2">
      <c r="A502" s="2"/>
      <c r="B502" s="3"/>
      <c r="C502" s="2"/>
      <c r="D502" s="3"/>
      <c r="E502" s="3"/>
      <c r="F502" s="3"/>
      <c r="G502" s="3"/>
      <c r="H502" s="2"/>
      <c r="I502" s="3"/>
      <c r="J502" s="3"/>
      <c r="K502" s="3"/>
      <c r="L502" s="3"/>
    </row>
    <row r="503" spans="1:12" ht="15" customHeight="1" x14ac:dyDescent="0.2">
      <c r="A503" s="8"/>
      <c r="B503" s="9"/>
      <c r="C503" s="8"/>
      <c r="D503" s="9"/>
      <c r="E503" s="9"/>
      <c r="F503" s="9"/>
      <c r="G503" s="9"/>
      <c r="H503" s="8"/>
      <c r="I503" s="9"/>
      <c r="J503" s="9"/>
      <c r="K503" s="9"/>
      <c r="L503" s="9"/>
    </row>
    <row r="504" spans="1:12" ht="15" customHeight="1" x14ac:dyDescent="0.2">
      <c r="A504" s="2"/>
      <c r="B504" s="3"/>
      <c r="C504" s="2"/>
      <c r="D504" s="3"/>
      <c r="E504" s="3"/>
      <c r="F504" s="3"/>
      <c r="G504" s="3"/>
      <c r="H504" s="2"/>
      <c r="I504" s="3"/>
      <c r="J504" s="3"/>
      <c r="K504" s="3"/>
      <c r="L504" s="3"/>
    </row>
    <row r="505" spans="1:12" ht="15" customHeight="1" x14ac:dyDescent="0.2">
      <c r="A505" s="8"/>
      <c r="B505" s="9"/>
      <c r="C505" s="8"/>
      <c r="D505" s="9"/>
      <c r="E505" s="9"/>
      <c r="F505" s="9"/>
      <c r="G505" s="9"/>
      <c r="H505" s="8"/>
      <c r="I505" s="9"/>
      <c r="J505" s="9"/>
      <c r="K505" s="9"/>
      <c r="L505" s="9"/>
    </row>
    <row r="506" spans="1:12" ht="15" customHeight="1" x14ac:dyDescent="0.2">
      <c r="A506" s="2"/>
      <c r="B506" s="3"/>
      <c r="C506" s="2"/>
      <c r="D506" s="3"/>
      <c r="E506" s="3"/>
      <c r="F506" s="3"/>
      <c r="G506" s="3"/>
      <c r="H506" s="2"/>
      <c r="I506" s="3"/>
      <c r="J506" s="3"/>
      <c r="K506" s="3"/>
      <c r="L506" s="3"/>
    </row>
    <row r="507" spans="1:12" ht="15" customHeight="1" x14ac:dyDescent="0.2">
      <c r="A507" s="8"/>
      <c r="B507" s="9"/>
      <c r="C507" s="8"/>
      <c r="D507" s="9"/>
      <c r="E507" s="9"/>
      <c r="F507" s="9"/>
      <c r="G507" s="9"/>
      <c r="H507" s="8"/>
      <c r="I507" s="9"/>
      <c r="J507" s="9"/>
      <c r="K507" s="9"/>
      <c r="L507" s="9"/>
    </row>
    <row r="508" spans="1:12" ht="15" customHeight="1" x14ac:dyDescent="0.2">
      <c r="A508" s="2"/>
      <c r="B508" s="3"/>
      <c r="C508" s="2"/>
      <c r="D508" s="3"/>
      <c r="E508" s="3"/>
      <c r="F508" s="3"/>
      <c r="G508" s="3"/>
      <c r="H508" s="2"/>
      <c r="I508" s="3"/>
      <c r="J508" s="3"/>
      <c r="K508" s="3"/>
      <c r="L508" s="3"/>
    </row>
    <row r="509" spans="1:12" ht="15" customHeight="1" x14ac:dyDescent="0.2">
      <c r="A509" s="8"/>
      <c r="B509" s="9"/>
      <c r="C509" s="8"/>
      <c r="D509" s="9"/>
      <c r="E509" s="9"/>
      <c r="F509" s="9"/>
      <c r="G509" s="9"/>
      <c r="H509" s="8"/>
      <c r="I509" s="9"/>
      <c r="J509" s="9"/>
      <c r="K509" s="9"/>
      <c r="L509" s="9"/>
    </row>
    <row r="510" spans="1:12" ht="15" customHeight="1" x14ac:dyDescent="0.2">
      <c r="A510" s="2"/>
      <c r="B510" s="3"/>
      <c r="C510" s="2"/>
      <c r="D510" s="3"/>
      <c r="E510" s="3"/>
      <c r="F510" s="3"/>
      <c r="G510" s="3"/>
      <c r="H510" s="2"/>
      <c r="I510" s="3"/>
      <c r="J510" s="3"/>
      <c r="K510" s="3"/>
      <c r="L510" s="3"/>
    </row>
    <row r="511" spans="1:12" ht="15" customHeight="1" x14ac:dyDescent="0.2">
      <c r="A511" s="8"/>
      <c r="B511" s="9"/>
      <c r="C511" s="8"/>
      <c r="D511" s="9"/>
      <c r="E511" s="9"/>
      <c r="F511" s="9"/>
      <c r="G511" s="9"/>
      <c r="H511" s="8"/>
      <c r="I511" s="9"/>
      <c r="J511" s="9"/>
      <c r="K511" s="9"/>
      <c r="L511" s="9"/>
    </row>
    <row r="512" spans="1:12" ht="15" customHeight="1" x14ac:dyDescent="0.2">
      <c r="A512" s="2"/>
      <c r="B512" s="3"/>
      <c r="C512" s="2"/>
      <c r="D512" s="3"/>
      <c r="E512" s="3"/>
      <c r="F512" s="3"/>
      <c r="G512" s="3"/>
      <c r="H512" s="2"/>
      <c r="I512" s="3"/>
      <c r="J512" s="3"/>
      <c r="K512" s="3"/>
      <c r="L512" s="3"/>
    </row>
    <row r="513" spans="1:12" ht="15" customHeight="1" x14ac:dyDescent="0.2">
      <c r="A513" s="8"/>
      <c r="B513" s="9"/>
      <c r="C513" s="8"/>
      <c r="D513" s="9"/>
      <c r="E513" s="9"/>
      <c r="F513" s="9"/>
      <c r="G513" s="9"/>
      <c r="H513" s="8"/>
      <c r="I513" s="9"/>
      <c r="J513" s="9"/>
      <c r="K513" s="9"/>
      <c r="L513" s="9"/>
    </row>
    <row r="514" spans="1:12" ht="15" customHeight="1" x14ac:dyDescent="0.2">
      <c r="A514" s="2"/>
      <c r="B514" s="3"/>
      <c r="C514" s="2"/>
      <c r="D514" s="3"/>
      <c r="E514" s="3"/>
      <c r="F514" s="3"/>
      <c r="G514" s="3"/>
      <c r="H514" s="2"/>
      <c r="I514" s="3"/>
      <c r="J514" s="3"/>
      <c r="K514" s="3"/>
      <c r="L514" s="3"/>
    </row>
    <row r="515" spans="1:12" ht="15" customHeight="1" x14ac:dyDescent="0.2">
      <c r="A515" s="8"/>
      <c r="B515" s="9"/>
      <c r="C515" s="8"/>
      <c r="D515" s="9"/>
      <c r="E515" s="9"/>
      <c r="F515" s="9"/>
      <c r="G515" s="9"/>
      <c r="H515" s="8"/>
      <c r="I515" s="9"/>
      <c r="J515" s="9"/>
      <c r="K515" s="9"/>
      <c r="L515" s="9"/>
    </row>
    <row r="516" spans="1:12" ht="15" customHeight="1" x14ac:dyDescent="0.2">
      <c r="A516" s="2"/>
      <c r="B516" s="3"/>
      <c r="C516" s="2"/>
      <c r="D516" s="3"/>
      <c r="E516" s="3"/>
      <c r="F516" s="3"/>
      <c r="G516" s="3"/>
      <c r="H516" s="2"/>
      <c r="I516" s="3"/>
      <c r="J516" s="3"/>
      <c r="K516" s="3"/>
      <c r="L516" s="3"/>
    </row>
    <row r="517" spans="1:12" ht="15" customHeight="1" x14ac:dyDescent="0.2">
      <c r="A517" s="8"/>
      <c r="B517" s="9"/>
      <c r="C517" s="8"/>
      <c r="D517" s="9"/>
      <c r="E517" s="9"/>
      <c r="F517" s="9"/>
      <c r="G517" s="9"/>
      <c r="H517" s="8"/>
      <c r="I517" s="9"/>
      <c r="J517" s="9"/>
      <c r="K517" s="9"/>
      <c r="L517" s="9"/>
    </row>
    <row r="518" spans="1:12" ht="15" customHeight="1" x14ac:dyDescent="0.2">
      <c r="A518" s="2"/>
      <c r="B518" s="3"/>
      <c r="C518" s="2"/>
      <c r="D518" s="3"/>
      <c r="E518" s="3"/>
      <c r="F518" s="3"/>
      <c r="G518" s="3"/>
      <c r="H518" s="2"/>
      <c r="I518" s="3"/>
      <c r="J518" s="3"/>
      <c r="K518" s="3"/>
      <c r="L518" s="3"/>
    </row>
    <row r="519" spans="1:12" ht="15" customHeight="1" x14ac:dyDescent="0.2">
      <c r="A519" s="8"/>
      <c r="B519" s="9"/>
      <c r="C519" s="8"/>
      <c r="D519" s="9"/>
      <c r="E519" s="9"/>
      <c r="F519" s="9"/>
      <c r="G519" s="9"/>
      <c r="H519" s="8"/>
      <c r="I519" s="9"/>
      <c r="J519" s="9"/>
      <c r="K519" s="9"/>
      <c r="L519" s="9"/>
    </row>
    <row r="520" spans="1:12" ht="15" customHeight="1" x14ac:dyDescent="0.2">
      <c r="A520" s="2"/>
      <c r="B520" s="3"/>
      <c r="C520" s="2"/>
      <c r="D520" s="3"/>
      <c r="E520" s="3"/>
      <c r="F520" s="3"/>
      <c r="G520" s="3"/>
      <c r="H520" s="2"/>
      <c r="I520" s="3"/>
      <c r="J520" s="3"/>
      <c r="K520" s="3"/>
      <c r="L520" s="3"/>
    </row>
    <row r="521" spans="1:12" ht="15" customHeight="1" x14ac:dyDescent="0.2">
      <c r="A521" s="8"/>
      <c r="B521" s="9"/>
      <c r="C521" s="8"/>
      <c r="D521" s="9"/>
      <c r="E521" s="9"/>
      <c r="F521" s="9"/>
      <c r="G521" s="9"/>
      <c r="H521" s="8"/>
      <c r="I521" s="9"/>
      <c r="J521" s="9"/>
      <c r="K521" s="9"/>
      <c r="L521" s="9"/>
    </row>
    <row r="522" spans="1:12" ht="15" customHeight="1" x14ac:dyDescent="0.2">
      <c r="A522" s="2"/>
      <c r="B522" s="3"/>
      <c r="C522" s="2"/>
      <c r="D522" s="3"/>
      <c r="E522" s="3"/>
      <c r="F522" s="3"/>
      <c r="G522" s="3"/>
      <c r="H522" s="2"/>
      <c r="I522" s="3"/>
      <c r="J522" s="3"/>
      <c r="K522" s="3"/>
      <c r="L522" s="3"/>
    </row>
    <row r="523" spans="1:12" ht="15" customHeight="1" x14ac:dyDescent="0.2">
      <c r="A523" s="8"/>
      <c r="B523" s="9"/>
      <c r="C523" s="8"/>
      <c r="D523" s="9"/>
      <c r="E523" s="9"/>
      <c r="F523" s="9"/>
      <c r="G523" s="9"/>
      <c r="H523" s="8"/>
      <c r="I523" s="9"/>
      <c r="J523" s="9"/>
      <c r="K523" s="9"/>
      <c r="L523" s="9"/>
    </row>
    <row r="524" spans="1:12" ht="15" customHeight="1" x14ac:dyDescent="0.2">
      <c r="A524" s="2"/>
      <c r="B524" s="3"/>
      <c r="C524" s="2"/>
      <c r="D524" s="3"/>
      <c r="E524" s="3"/>
      <c r="F524" s="3"/>
      <c r="G524" s="3"/>
      <c r="H524" s="2"/>
      <c r="I524" s="3"/>
      <c r="J524" s="3"/>
      <c r="K524" s="3"/>
      <c r="L524" s="3"/>
    </row>
    <row r="525" spans="1:12" ht="15" customHeight="1" x14ac:dyDescent="0.2">
      <c r="A525" s="8"/>
      <c r="B525" s="9"/>
      <c r="C525" s="8"/>
      <c r="D525" s="9"/>
      <c r="E525" s="9"/>
      <c r="F525" s="9"/>
      <c r="G525" s="9"/>
      <c r="H525" s="8"/>
      <c r="I525" s="9"/>
      <c r="J525" s="9"/>
      <c r="K525" s="9"/>
      <c r="L525" s="9"/>
    </row>
    <row r="526" spans="1:12" ht="15" customHeight="1" x14ac:dyDescent="0.2">
      <c r="A526" s="2"/>
      <c r="B526" s="3"/>
      <c r="C526" s="2"/>
      <c r="D526" s="3"/>
      <c r="E526" s="3"/>
      <c r="F526" s="3"/>
      <c r="G526" s="3"/>
      <c r="H526" s="2"/>
      <c r="I526" s="3"/>
      <c r="J526" s="3"/>
      <c r="K526" s="3"/>
      <c r="L526" s="3"/>
    </row>
    <row r="527" spans="1:12" ht="15" customHeight="1" x14ac:dyDescent="0.2">
      <c r="A527" s="8"/>
      <c r="B527" s="9"/>
      <c r="C527" s="8"/>
      <c r="D527" s="9"/>
      <c r="E527" s="9"/>
      <c r="F527" s="9"/>
      <c r="G527" s="9"/>
      <c r="H527" s="8"/>
      <c r="I527" s="9"/>
      <c r="J527" s="9"/>
      <c r="K527" s="9"/>
      <c r="L527" s="9"/>
    </row>
    <row r="528" spans="1:12" ht="15" customHeight="1" x14ac:dyDescent="0.2">
      <c r="A528" s="2"/>
      <c r="B528" s="3"/>
      <c r="C528" s="2"/>
      <c r="D528" s="3"/>
      <c r="E528" s="3"/>
      <c r="F528" s="3"/>
      <c r="G528" s="3"/>
      <c r="H528" s="2"/>
      <c r="I528" s="3"/>
      <c r="J528" s="3"/>
      <c r="K528" s="3"/>
      <c r="L528" s="3"/>
    </row>
    <row r="529" spans="1:12" ht="15" customHeight="1" x14ac:dyDescent="0.2">
      <c r="A529" s="8"/>
      <c r="B529" s="9"/>
      <c r="C529" s="8"/>
      <c r="D529" s="9"/>
      <c r="E529" s="9"/>
      <c r="F529" s="9"/>
      <c r="G529" s="9"/>
      <c r="H529" s="8"/>
      <c r="I529" s="9"/>
      <c r="J529" s="9"/>
      <c r="K529" s="9"/>
      <c r="L529" s="9"/>
    </row>
    <row r="530" spans="1:12" ht="15" customHeight="1" x14ac:dyDescent="0.2">
      <c r="A530" s="2"/>
      <c r="B530" s="3"/>
      <c r="C530" s="2"/>
      <c r="D530" s="3"/>
      <c r="E530" s="3"/>
      <c r="F530" s="3"/>
      <c r="G530" s="3"/>
      <c r="H530" s="2"/>
      <c r="I530" s="3"/>
      <c r="J530" s="3"/>
      <c r="K530" s="3"/>
      <c r="L530" s="3"/>
    </row>
    <row r="531" spans="1:12" ht="15" customHeight="1" x14ac:dyDescent="0.2">
      <c r="A531" s="8"/>
      <c r="B531" s="9"/>
      <c r="C531" s="8"/>
      <c r="D531" s="9"/>
      <c r="E531" s="9"/>
      <c r="F531" s="9"/>
      <c r="G531" s="9"/>
      <c r="H531" s="8"/>
      <c r="I531" s="9"/>
      <c r="J531" s="9"/>
      <c r="K531" s="9"/>
      <c r="L531" s="9"/>
    </row>
    <row r="532" spans="1:12" ht="15" customHeight="1" x14ac:dyDescent="0.2">
      <c r="A532" s="2"/>
      <c r="B532" s="3"/>
      <c r="C532" s="2"/>
      <c r="D532" s="3"/>
      <c r="E532" s="3"/>
      <c r="F532" s="3"/>
      <c r="G532" s="3"/>
      <c r="H532" s="2"/>
      <c r="I532" s="3"/>
      <c r="J532" s="3"/>
      <c r="K532" s="3"/>
      <c r="L532" s="3"/>
    </row>
    <row r="533" spans="1:12" ht="15" customHeight="1" x14ac:dyDescent="0.2">
      <c r="A533" s="8"/>
      <c r="B533" s="9"/>
      <c r="C533" s="8"/>
      <c r="D533" s="9"/>
      <c r="E533" s="9"/>
      <c r="F533" s="9"/>
      <c r="G533" s="9"/>
      <c r="H533" s="8"/>
      <c r="I533" s="9"/>
      <c r="J533" s="9"/>
      <c r="K533" s="9"/>
      <c r="L533" s="9"/>
    </row>
    <row r="534" spans="1:12" ht="15" customHeight="1" x14ac:dyDescent="0.2">
      <c r="A534" s="2"/>
      <c r="B534" s="3"/>
      <c r="C534" s="2"/>
      <c r="D534" s="3"/>
      <c r="E534" s="3"/>
      <c r="F534" s="3"/>
      <c r="G534" s="3"/>
      <c r="H534" s="2"/>
      <c r="I534" s="3"/>
      <c r="J534" s="3"/>
      <c r="K534" s="3"/>
      <c r="L534" s="3"/>
    </row>
    <row r="535" spans="1:12" ht="15" customHeight="1" x14ac:dyDescent="0.2">
      <c r="A535" s="8"/>
      <c r="B535" s="9"/>
      <c r="C535" s="8"/>
      <c r="D535" s="9"/>
      <c r="E535" s="9"/>
      <c r="F535" s="9"/>
      <c r="G535" s="9"/>
      <c r="H535" s="8"/>
      <c r="I535" s="9"/>
      <c r="J535" s="9"/>
      <c r="K535" s="9"/>
      <c r="L535" s="9"/>
    </row>
    <row r="536" spans="1:12" ht="15" customHeight="1" x14ac:dyDescent="0.2">
      <c r="A536" s="2"/>
      <c r="B536" s="3"/>
      <c r="C536" s="2"/>
      <c r="D536" s="3"/>
      <c r="E536" s="3"/>
      <c r="F536" s="3"/>
      <c r="G536" s="3"/>
      <c r="H536" s="2"/>
      <c r="I536" s="3"/>
      <c r="J536" s="3"/>
      <c r="K536" s="3"/>
      <c r="L536" s="3"/>
    </row>
    <row r="537" spans="1:12" ht="15" customHeight="1" x14ac:dyDescent="0.2">
      <c r="A537" s="8"/>
      <c r="B537" s="9"/>
      <c r="C537" s="8"/>
      <c r="D537" s="9"/>
      <c r="E537" s="9"/>
      <c r="F537" s="9"/>
      <c r="G537" s="9"/>
      <c r="H537" s="8"/>
      <c r="I537" s="9"/>
      <c r="J537" s="9"/>
      <c r="K537" s="9"/>
      <c r="L537" s="9"/>
    </row>
    <row r="538" spans="1:12" ht="15" customHeight="1" x14ac:dyDescent="0.2">
      <c r="A538" s="2"/>
      <c r="B538" s="3"/>
      <c r="C538" s="2"/>
      <c r="D538" s="3"/>
      <c r="E538" s="3"/>
      <c r="F538" s="3"/>
      <c r="G538" s="3"/>
      <c r="H538" s="2"/>
      <c r="I538" s="3"/>
      <c r="J538" s="3"/>
      <c r="K538" s="3"/>
      <c r="L538" s="3"/>
    </row>
    <row r="539" spans="1:12" ht="15" customHeight="1" x14ac:dyDescent="0.2">
      <c r="A539" s="8"/>
      <c r="B539" s="9"/>
      <c r="C539" s="8"/>
      <c r="D539" s="9"/>
      <c r="E539" s="9"/>
      <c r="F539" s="9"/>
      <c r="G539" s="9"/>
      <c r="H539" s="8"/>
      <c r="I539" s="9"/>
      <c r="J539" s="9"/>
      <c r="K539" s="9"/>
      <c r="L539" s="9"/>
    </row>
    <row r="540" spans="1:12" ht="15" customHeight="1" x14ac:dyDescent="0.2">
      <c r="A540" s="2"/>
      <c r="B540" s="3"/>
      <c r="C540" s="2"/>
      <c r="D540" s="3"/>
      <c r="E540" s="3"/>
      <c r="F540" s="3"/>
      <c r="G540" s="3"/>
      <c r="H540" s="2"/>
      <c r="I540" s="3"/>
      <c r="J540" s="3"/>
      <c r="K540" s="3"/>
      <c r="L540" s="3"/>
    </row>
    <row r="541" spans="1:12" ht="15" customHeight="1" x14ac:dyDescent="0.2">
      <c r="A541" s="8"/>
      <c r="B541" s="9"/>
      <c r="C541" s="8"/>
      <c r="D541" s="9"/>
      <c r="E541" s="9"/>
      <c r="F541" s="9"/>
      <c r="G541" s="9"/>
      <c r="H541" s="8"/>
      <c r="I541" s="9"/>
      <c r="J541" s="9"/>
      <c r="K541" s="9"/>
      <c r="L541" s="9"/>
    </row>
    <row r="542" spans="1:12" ht="15" customHeight="1" x14ac:dyDescent="0.2">
      <c r="A542" s="2"/>
      <c r="B542" s="3"/>
      <c r="C542" s="2"/>
      <c r="D542" s="3"/>
      <c r="E542" s="3"/>
      <c r="F542" s="3"/>
      <c r="G542" s="3"/>
      <c r="H542" s="2"/>
      <c r="I542" s="3"/>
      <c r="J542" s="3"/>
      <c r="K542" s="3"/>
      <c r="L542" s="3"/>
    </row>
    <row r="543" spans="1:12" ht="15" customHeight="1" x14ac:dyDescent="0.2">
      <c r="A543" s="8"/>
      <c r="B543" s="9"/>
      <c r="C543" s="8"/>
      <c r="D543" s="9"/>
      <c r="E543" s="9"/>
      <c r="F543" s="9"/>
      <c r="G543" s="9"/>
      <c r="H543" s="8"/>
      <c r="I543" s="9"/>
      <c r="J543" s="9"/>
      <c r="K543" s="9"/>
      <c r="L543" s="9"/>
    </row>
    <row r="544" spans="1:12" ht="15" customHeight="1" x14ac:dyDescent="0.2">
      <c r="A544" s="2"/>
      <c r="B544" s="3"/>
      <c r="C544" s="2"/>
      <c r="D544" s="3"/>
      <c r="E544" s="3"/>
      <c r="F544" s="3"/>
      <c r="G544" s="3"/>
      <c r="H544" s="2"/>
      <c r="I544" s="3"/>
      <c r="J544" s="3"/>
      <c r="K544" s="3"/>
      <c r="L544" s="3"/>
    </row>
    <row r="545" spans="1:12" ht="15" customHeight="1" x14ac:dyDescent="0.2">
      <c r="A545" s="8"/>
      <c r="B545" s="9"/>
      <c r="C545" s="8"/>
      <c r="D545" s="9"/>
      <c r="E545" s="9"/>
      <c r="F545" s="9"/>
      <c r="G545" s="9"/>
      <c r="H545" s="8"/>
      <c r="I545" s="9"/>
      <c r="J545" s="9"/>
      <c r="K545" s="9"/>
      <c r="L545" s="9"/>
    </row>
    <row r="546" spans="1:12" ht="15" customHeight="1" x14ac:dyDescent="0.2">
      <c r="A546" s="2"/>
      <c r="B546" s="3"/>
      <c r="C546" s="2"/>
      <c r="D546" s="3"/>
      <c r="E546" s="3"/>
      <c r="F546" s="3"/>
      <c r="G546" s="3"/>
      <c r="H546" s="2"/>
      <c r="I546" s="3"/>
      <c r="J546" s="3"/>
      <c r="K546" s="3"/>
      <c r="L546" s="3"/>
    </row>
    <row r="547" spans="1:12" ht="15" customHeight="1" x14ac:dyDescent="0.2">
      <c r="A547" s="8"/>
      <c r="B547" s="9"/>
      <c r="C547" s="8"/>
      <c r="D547" s="9"/>
      <c r="E547" s="9"/>
      <c r="F547" s="9"/>
      <c r="G547" s="9"/>
      <c r="H547" s="8"/>
      <c r="I547" s="9"/>
      <c r="J547" s="9"/>
      <c r="K547" s="9"/>
      <c r="L547" s="9"/>
    </row>
    <row r="548" spans="1:12" ht="15" customHeight="1" x14ac:dyDescent="0.2">
      <c r="A548" s="2"/>
      <c r="B548" s="3"/>
      <c r="C548" s="2"/>
      <c r="D548" s="3"/>
      <c r="E548" s="3"/>
      <c r="F548" s="3"/>
      <c r="G548" s="3"/>
      <c r="H548" s="2"/>
      <c r="I548" s="3"/>
      <c r="J548" s="3"/>
      <c r="K548" s="3"/>
      <c r="L548" s="3"/>
    </row>
    <row r="549" spans="1:12" ht="15" customHeight="1" x14ac:dyDescent="0.2">
      <c r="A549" s="8"/>
      <c r="B549" s="9"/>
      <c r="C549" s="8"/>
      <c r="D549" s="9"/>
      <c r="E549" s="9"/>
      <c r="F549" s="9"/>
      <c r="G549" s="9"/>
      <c r="H549" s="8"/>
      <c r="I549" s="9"/>
      <c r="J549" s="9"/>
      <c r="K549" s="9"/>
      <c r="L549" s="9"/>
    </row>
    <row r="550" spans="1:12" ht="15" customHeight="1" x14ac:dyDescent="0.2">
      <c r="A550" s="2"/>
      <c r="B550" s="3"/>
      <c r="C550" s="2"/>
      <c r="D550" s="3"/>
      <c r="E550" s="3"/>
      <c r="F550" s="3"/>
      <c r="G550" s="3"/>
      <c r="H550" s="2"/>
      <c r="I550" s="3"/>
      <c r="J550" s="3"/>
      <c r="K550" s="3"/>
      <c r="L550" s="3"/>
    </row>
    <row r="551" spans="1:12" ht="15" customHeight="1" x14ac:dyDescent="0.2">
      <c r="A551" s="8"/>
      <c r="B551" s="9"/>
      <c r="C551" s="8"/>
      <c r="D551" s="9"/>
      <c r="E551" s="9"/>
      <c r="F551" s="9"/>
      <c r="G551" s="9"/>
      <c r="H551" s="8"/>
      <c r="I551" s="9"/>
      <c r="J551" s="9"/>
      <c r="K551" s="9"/>
      <c r="L551" s="9"/>
    </row>
    <row r="552" spans="1:12" ht="15" customHeight="1" x14ac:dyDescent="0.2">
      <c r="A552" s="2"/>
      <c r="B552" s="3"/>
      <c r="C552" s="2"/>
      <c r="D552" s="3"/>
      <c r="E552" s="3"/>
      <c r="F552" s="3"/>
      <c r="G552" s="3"/>
      <c r="H552" s="2"/>
      <c r="I552" s="3"/>
      <c r="J552" s="3"/>
      <c r="K552" s="3"/>
      <c r="L552" s="3"/>
    </row>
    <row r="553" spans="1:12" ht="15" customHeight="1" x14ac:dyDescent="0.2">
      <c r="A553" s="8"/>
      <c r="B553" s="9"/>
      <c r="C553" s="8"/>
      <c r="D553" s="9"/>
      <c r="E553" s="9"/>
      <c r="F553" s="9"/>
      <c r="G553" s="9"/>
      <c r="H553" s="8"/>
      <c r="I553" s="9"/>
      <c r="J553" s="9"/>
      <c r="K553" s="9"/>
      <c r="L553" s="9"/>
    </row>
    <row r="554" spans="1:12" ht="15" customHeight="1" x14ac:dyDescent="0.2">
      <c r="A554" s="2"/>
      <c r="B554" s="3"/>
      <c r="C554" s="2"/>
      <c r="D554" s="3"/>
      <c r="E554" s="3"/>
      <c r="F554" s="3"/>
      <c r="G554" s="3"/>
      <c r="H554" s="2"/>
      <c r="I554" s="3"/>
      <c r="J554" s="3"/>
      <c r="K554" s="3"/>
      <c r="L554" s="3"/>
    </row>
    <row r="555" spans="1:12" ht="15" customHeight="1" x14ac:dyDescent="0.2">
      <c r="A555" s="8"/>
      <c r="B555" s="9"/>
      <c r="C555" s="8"/>
      <c r="D555" s="9"/>
      <c r="E555" s="9"/>
      <c r="F555" s="9"/>
      <c r="G555" s="9"/>
      <c r="H555" s="8"/>
      <c r="I555" s="9"/>
      <c r="J555" s="9"/>
      <c r="K555" s="9"/>
      <c r="L555" s="9"/>
    </row>
    <row r="556" spans="1:12" ht="15" customHeight="1" x14ac:dyDescent="0.2">
      <c r="A556" s="2"/>
      <c r="B556" s="3"/>
      <c r="C556" s="2"/>
      <c r="D556" s="3"/>
      <c r="E556" s="3"/>
      <c r="F556" s="3"/>
      <c r="G556" s="3"/>
      <c r="H556" s="2"/>
      <c r="I556" s="3"/>
      <c r="J556" s="3"/>
      <c r="K556" s="3"/>
      <c r="L556" s="3"/>
    </row>
    <row r="557" spans="1:12" ht="15" customHeight="1" x14ac:dyDescent="0.2">
      <c r="A557" s="8"/>
      <c r="B557" s="9"/>
      <c r="C557" s="8"/>
      <c r="D557" s="9"/>
      <c r="E557" s="9"/>
      <c r="F557" s="9"/>
      <c r="G557" s="9"/>
      <c r="H557" s="8"/>
      <c r="I557" s="9"/>
      <c r="J557" s="9"/>
      <c r="K557" s="9"/>
      <c r="L557" s="9"/>
    </row>
    <row r="558" spans="1:12" ht="15" customHeight="1" x14ac:dyDescent="0.2">
      <c r="A558" s="2"/>
      <c r="B558" s="3"/>
      <c r="C558" s="2"/>
      <c r="D558" s="3"/>
      <c r="E558" s="3"/>
      <c r="F558" s="3"/>
      <c r="G558" s="3"/>
      <c r="H558" s="2"/>
      <c r="I558" s="3"/>
      <c r="J558" s="3"/>
      <c r="K558" s="3"/>
      <c r="L558" s="3"/>
    </row>
    <row r="559" spans="1:12" ht="15" customHeight="1" x14ac:dyDescent="0.2">
      <c r="A559" s="8"/>
      <c r="B559" s="9"/>
      <c r="C559" s="8"/>
      <c r="D559" s="9"/>
      <c r="E559" s="9"/>
      <c r="F559" s="9"/>
      <c r="G559" s="9"/>
      <c r="H559" s="8"/>
      <c r="I559" s="9"/>
      <c r="J559" s="9"/>
      <c r="K559" s="9"/>
      <c r="L559" s="9"/>
    </row>
    <row r="560" spans="1:12" ht="15" customHeight="1" x14ac:dyDescent="0.2">
      <c r="A560" s="2"/>
      <c r="B560" s="3"/>
      <c r="C560" s="2"/>
      <c r="D560" s="3"/>
      <c r="E560" s="3"/>
      <c r="F560" s="3"/>
      <c r="G560" s="3"/>
      <c r="H560" s="2"/>
      <c r="I560" s="3"/>
      <c r="J560" s="3"/>
      <c r="K560" s="3"/>
      <c r="L560" s="3"/>
    </row>
    <row r="561" spans="1:12" ht="15" customHeight="1" x14ac:dyDescent="0.2">
      <c r="A561" s="8"/>
      <c r="B561" s="9"/>
      <c r="C561" s="8"/>
      <c r="D561" s="9"/>
      <c r="E561" s="9"/>
      <c r="F561" s="9"/>
      <c r="G561" s="9"/>
      <c r="H561" s="8"/>
      <c r="I561" s="9"/>
      <c r="J561" s="9"/>
      <c r="K561" s="9"/>
      <c r="L561" s="9"/>
    </row>
    <row r="562" spans="1:12" ht="15" customHeight="1" x14ac:dyDescent="0.2">
      <c r="A562" s="2"/>
      <c r="B562" s="3"/>
      <c r="C562" s="2"/>
      <c r="D562" s="3"/>
      <c r="E562" s="3"/>
      <c r="F562" s="3"/>
      <c r="G562" s="3"/>
      <c r="H562" s="2"/>
      <c r="I562" s="3"/>
      <c r="J562" s="3"/>
      <c r="K562" s="3"/>
      <c r="L562" s="3"/>
    </row>
    <row r="563" spans="1:12" ht="15" customHeight="1" x14ac:dyDescent="0.2">
      <c r="A563" s="8"/>
      <c r="B563" s="9"/>
      <c r="C563" s="8"/>
      <c r="D563" s="9"/>
      <c r="E563" s="9"/>
      <c r="F563" s="9"/>
      <c r="G563" s="9"/>
      <c r="H563" s="8"/>
      <c r="I563" s="9"/>
      <c r="J563" s="9"/>
      <c r="K563" s="9"/>
      <c r="L563" s="9"/>
    </row>
    <row r="564" spans="1:12" ht="15" customHeight="1" x14ac:dyDescent="0.2">
      <c r="A564" s="2"/>
      <c r="B564" s="3"/>
      <c r="C564" s="2"/>
      <c r="D564" s="3"/>
      <c r="E564" s="3"/>
      <c r="F564" s="3"/>
      <c r="G564" s="3"/>
      <c r="H564" s="2"/>
      <c r="I564" s="3"/>
      <c r="J564" s="3"/>
      <c r="K564" s="3"/>
      <c r="L564" s="3"/>
    </row>
    <row r="565" spans="1:12" ht="15" customHeight="1" x14ac:dyDescent="0.2">
      <c r="A565" s="8"/>
      <c r="B565" s="9"/>
      <c r="C565" s="8"/>
      <c r="D565" s="9"/>
      <c r="E565" s="9"/>
      <c r="F565" s="9"/>
      <c r="G565" s="9"/>
      <c r="H565" s="8"/>
      <c r="I565" s="9"/>
      <c r="J565" s="9"/>
      <c r="K565" s="9"/>
      <c r="L565" s="9"/>
    </row>
    <row r="566" spans="1:12" ht="15" customHeight="1" x14ac:dyDescent="0.2">
      <c r="A566" s="2"/>
      <c r="B566" s="3"/>
      <c r="C566" s="2"/>
      <c r="D566" s="3"/>
      <c r="E566" s="3"/>
      <c r="F566" s="3"/>
      <c r="G566" s="3"/>
      <c r="H566" s="2"/>
      <c r="I566" s="3"/>
      <c r="J566" s="3"/>
      <c r="K566" s="3"/>
      <c r="L566" s="3"/>
    </row>
    <row r="567" spans="1:12" ht="15" customHeight="1" x14ac:dyDescent="0.2">
      <c r="A567" s="8"/>
      <c r="B567" s="9"/>
      <c r="C567" s="8"/>
      <c r="D567" s="9"/>
      <c r="E567" s="9"/>
      <c r="F567" s="9"/>
      <c r="G567" s="9"/>
      <c r="H567" s="8"/>
      <c r="I567" s="9"/>
      <c r="J567" s="9"/>
      <c r="K567" s="9"/>
      <c r="L567" s="9"/>
    </row>
    <row r="568" spans="1:12" ht="15" customHeight="1" x14ac:dyDescent="0.2">
      <c r="A568" s="2"/>
      <c r="B568" s="3"/>
      <c r="C568" s="2"/>
      <c r="D568" s="3"/>
      <c r="E568" s="3"/>
      <c r="F568" s="3"/>
      <c r="G568" s="3"/>
      <c r="H568" s="2"/>
      <c r="I568" s="3"/>
      <c r="J568" s="3"/>
      <c r="K568" s="3"/>
      <c r="L568" s="3"/>
    </row>
    <row r="569" spans="1:12" ht="15" customHeight="1" x14ac:dyDescent="0.2">
      <c r="A569" s="8"/>
      <c r="B569" s="9"/>
      <c r="C569" s="8"/>
      <c r="D569" s="9"/>
      <c r="E569" s="9"/>
      <c r="F569" s="9"/>
      <c r="G569" s="9"/>
      <c r="H569" s="8"/>
      <c r="I569" s="9"/>
      <c r="J569" s="9"/>
      <c r="K569" s="9"/>
      <c r="L569" s="9"/>
    </row>
    <row r="570" spans="1:12" ht="15" customHeight="1" x14ac:dyDescent="0.2">
      <c r="A570" s="2"/>
      <c r="B570" s="3"/>
      <c r="C570" s="2"/>
      <c r="D570" s="3"/>
      <c r="E570" s="3"/>
      <c r="F570" s="3"/>
      <c r="G570" s="3"/>
      <c r="H570" s="2"/>
      <c r="I570" s="3"/>
      <c r="J570" s="3"/>
      <c r="K570" s="3"/>
      <c r="L570" s="3"/>
    </row>
    <row r="571" spans="1:12" ht="15" customHeight="1" x14ac:dyDescent="0.2">
      <c r="A571" s="8"/>
      <c r="B571" s="9"/>
      <c r="C571" s="8"/>
      <c r="D571" s="9"/>
      <c r="E571" s="9"/>
      <c r="F571" s="9"/>
      <c r="G571" s="9"/>
      <c r="H571" s="8"/>
      <c r="I571" s="9"/>
      <c r="J571" s="9"/>
      <c r="K571" s="9"/>
      <c r="L571" s="9"/>
    </row>
    <row r="572" spans="1:12" ht="15" customHeight="1" x14ac:dyDescent="0.2">
      <c r="A572" s="2"/>
      <c r="B572" s="3"/>
      <c r="C572" s="2"/>
      <c r="D572" s="3"/>
      <c r="E572" s="3"/>
      <c r="F572" s="3"/>
      <c r="G572" s="3"/>
      <c r="H572" s="2"/>
      <c r="I572" s="3"/>
      <c r="J572" s="3"/>
      <c r="K572" s="3"/>
      <c r="L572" s="3"/>
    </row>
    <row r="573" spans="1:12" ht="15" customHeight="1" x14ac:dyDescent="0.2">
      <c r="A573" s="8"/>
      <c r="B573" s="9"/>
      <c r="C573" s="8"/>
      <c r="D573" s="9"/>
      <c r="E573" s="9"/>
      <c r="F573" s="9"/>
      <c r="G573" s="9"/>
      <c r="H573" s="8"/>
      <c r="I573" s="9"/>
      <c r="J573" s="9"/>
      <c r="K573" s="9"/>
      <c r="L573" s="9"/>
    </row>
    <row r="574" spans="1:12" ht="15" customHeight="1" x14ac:dyDescent="0.2">
      <c r="A574" s="2"/>
      <c r="B574" s="3"/>
      <c r="C574" s="2"/>
      <c r="D574" s="3"/>
      <c r="E574" s="3"/>
      <c r="F574" s="3"/>
      <c r="G574" s="3"/>
      <c r="H574" s="2"/>
      <c r="I574" s="3"/>
      <c r="J574" s="3"/>
      <c r="K574" s="3"/>
      <c r="L574" s="3"/>
    </row>
    <row r="575" spans="1:12" ht="15" customHeight="1" x14ac:dyDescent="0.2">
      <c r="A575" s="8"/>
      <c r="B575" s="9"/>
      <c r="C575" s="8"/>
      <c r="D575" s="9"/>
      <c r="E575" s="9"/>
      <c r="F575" s="9"/>
      <c r="G575" s="9"/>
      <c r="H575" s="8"/>
      <c r="I575" s="9"/>
      <c r="J575" s="9"/>
      <c r="K575" s="9"/>
      <c r="L575" s="9"/>
    </row>
    <row r="576" spans="1:12" ht="15" customHeight="1" x14ac:dyDescent="0.2">
      <c r="A576" s="2"/>
      <c r="B576" s="3"/>
      <c r="C576" s="2"/>
      <c r="D576" s="3"/>
      <c r="E576" s="3"/>
      <c r="F576" s="3"/>
      <c r="G576" s="3"/>
      <c r="H576" s="2"/>
      <c r="I576" s="3"/>
      <c r="J576" s="3"/>
      <c r="K576" s="3"/>
      <c r="L576" s="3"/>
    </row>
    <row r="577" spans="1:12" ht="15" customHeight="1" x14ac:dyDescent="0.2">
      <c r="A577" s="8"/>
      <c r="B577" s="9"/>
      <c r="C577" s="8"/>
      <c r="D577" s="9"/>
      <c r="E577" s="9"/>
      <c r="F577" s="9"/>
      <c r="G577" s="9"/>
      <c r="H577" s="8"/>
      <c r="I577" s="9"/>
      <c r="J577" s="9"/>
      <c r="K577" s="9"/>
      <c r="L577" s="9"/>
    </row>
    <row r="578" spans="1:12" ht="15" customHeight="1" x14ac:dyDescent="0.2">
      <c r="A578" s="2"/>
      <c r="B578" s="3"/>
      <c r="C578" s="2"/>
      <c r="D578" s="3"/>
      <c r="E578" s="3"/>
      <c r="F578" s="3"/>
      <c r="G578" s="3"/>
      <c r="H578" s="2"/>
      <c r="I578" s="3"/>
      <c r="J578" s="3"/>
      <c r="K578" s="3"/>
      <c r="L578" s="3"/>
    </row>
    <row r="579" spans="1:12" ht="15" customHeight="1" x14ac:dyDescent="0.2">
      <c r="A579" s="8"/>
      <c r="B579" s="9"/>
      <c r="C579" s="8"/>
      <c r="D579" s="9"/>
      <c r="E579" s="9"/>
      <c r="F579" s="9"/>
      <c r="G579" s="9"/>
      <c r="H579" s="8"/>
      <c r="I579" s="9"/>
      <c r="J579" s="9"/>
      <c r="K579" s="9"/>
      <c r="L579" s="9"/>
    </row>
    <row r="580" spans="1:12" ht="15" customHeight="1" x14ac:dyDescent="0.2">
      <c r="A580" s="2"/>
      <c r="B580" s="3"/>
      <c r="C580" s="2"/>
      <c r="D580" s="3"/>
      <c r="E580" s="3"/>
      <c r="F580" s="3"/>
      <c r="G580" s="3"/>
      <c r="H580" s="2"/>
      <c r="I580" s="3"/>
      <c r="J580" s="3"/>
      <c r="K580" s="3"/>
      <c r="L580" s="3"/>
    </row>
    <row r="581" spans="1:12" ht="15" customHeight="1" x14ac:dyDescent="0.2">
      <c r="A581" s="8"/>
      <c r="B581" s="9"/>
      <c r="C581" s="8"/>
      <c r="D581" s="9"/>
      <c r="E581" s="9"/>
      <c r="F581" s="9"/>
      <c r="G581" s="9"/>
      <c r="H581" s="8"/>
      <c r="I581" s="9"/>
      <c r="J581" s="9"/>
      <c r="K581" s="9"/>
      <c r="L581" s="9"/>
    </row>
    <row r="582" spans="1:12" ht="15" customHeight="1" x14ac:dyDescent="0.2">
      <c r="A582" s="2"/>
      <c r="B582" s="3"/>
      <c r="C582" s="2"/>
      <c r="D582" s="3"/>
      <c r="E582" s="3"/>
      <c r="F582" s="3"/>
      <c r="G582" s="3"/>
      <c r="H582" s="2"/>
      <c r="I582" s="3"/>
      <c r="J582" s="3"/>
      <c r="K582" s="3"/>
      <c r="L582" s="3"/>
    </row>
    <row r="583" spans="1:12" ht="15" customHeight="1" x14ac:dyDescent="0.2">
      <c r="A583" s="8"/>
      <c r="B583" s="9"/>
      <c r="C583" s="8"/>
      <c r="D583" s="9"/>
      <c r="E583" s="9"/>
      <c r="F583" s="9"/>
      <c r="G583" s="9"/>
      <c r="H583" s="8"/>
      <c r="I583" s="9"/>
      <c r="J583" s="9"/>
      <c r="K583" s="9"/>
      <c r="L583" s="9"/>
    </row>
    <row r="584" spans="1:12" ht="15" customHeight="1" x14ac:dyDescent="0.2">
      <c r="A584" s="2"/>
      <c r="B584" s="3"/>
      <c r="C584" s="2"/>
      <c r="D584" s="3"/>
      <c r="E584" s="3"/>
      <c r="F584" s="3"/>
      <c r="G584" s="3"/>
      <c r="H584" s="2"/>
      <c r="I584" s="3"/>
      <c r="J584" s="3"/>
      <c r="K584" s="3"/>
      <c r="L584" s="3"/>
    </row>
    <row r="585" spans="1:12" ht="15" customHeight="1" x14ac:dyDescent="0.2">
      <c r="A585" s="8"/>
      <c r="B585" s="9"/>
      <c r="C585" s="8"/>
      <c r="D585" s="9"/>
      <c r="E585" s="9"/>
      <c r="F585" s="9"/>
      <c r="G585" s="9"/>
      <c r="H585" s="8"/>
      <c r="I585" s="9"/>
      <c r="J585" s="9"/>
      <c r="K585" s="9"/>
      <c r="L585" s="9"/>
    </row>
    <row r="586" spans="1:12" ht="15" customHeight="1" x14ac:dyDescent="0.2">
      <c r="A586" s="2"/>
      <c r="B586" s="3"/>
      <c r="C586" s="2"/>
      <c r="D586" s="3"/>
      <c r="E586" s="3"/>
      <c r="F586" s="3"/>
      <c r="G586" s="3"/>
      <c r="H586" s="2"/>
      <c r="I586" s="3"/>
      <c r="J586" s="3"/>
      <c r="K586" s="3"/>
      <c r="L586" s="3"/>
    </row>
    <row r="587" spans="1:12" ht="15" customHeight="1" x14ac:dyDescent="0.2">
      <c r="A587" s="8"/>
      <c r="B587" s="9"/>
      <c r="C587" s="8"/>
      <c r="D587" s="9"/>
      <c r="E587" s="9"/>
      <c r="F587" s="9"/>
      <c r="G587" s="9"/>
      <c r="H587" s="8"/>
      <c r="I587" s="9"/>
      <c r="J587" s="9"/>
      <c r="K587" s="9"/>
      <c r="L587" s="9"/>
    </row>
    <row r="588" spans="1:12" ht="15" customHeight="1" x14ac:dyDescent="0.2">
      <c r="A588" s="2"/>
      <c r="B588" s="3"/>
      <c r="C588" s="2"/>
      <c r="D588" s="3"/>
      <c r="E588" s="3"/>
      <c r="F588" s="3"/>
      <c r="G588" s="3"/>
      <c r="H588" s="2"/>
      <c r="I588" s="3"/>
      <c r="J588" s="3"/>
      <c r="K588" s="3"/>
      <c r="L588" s="3"/>
    </row>
    <row r="589" spans="1:12" ht="15" customHeight="1" x14ac:dyDescent="0.2">
      <c r="A589" s="8"/>
      <c r="B589" s="9"/>
      <c r="C589" s="8"/>
      <c r="D589" s="9"/>
      <c r="E589" s="9"/>
      <c r="F589" s="9"/>
      <c r="G589" s="9"/>
      <c r="H589" s="8"/>
      <c r="I589" s="9"/>
      <c r="J589" s="9"/>
      <c r="K589" s="9"/>
      <c r="L589" s="9"/>
    </row>
    <row r="590" spans="1:12" ht="15" customHeight="1" x14ac:dyDescent="0.2">
      <c r="A590" s="2"/>
      <c r="B590" s="3"/>
      <c r="C590" s="2"/>
      <c r="D590" s="3"/>
      <c r="E590" s="3"/>
      <c r="F590" s="3"/>
      <c r="G590" s="3"/>
      <c r="H590" s="2"/>
      <c r="I590" s="3"/>
      <c r="J590" s="3"/>
      <c r="K590" s="3"/>
      <c r="L590" s="3"/>
    </row>
    <row r="591" spans="1:12" ht="15" customHeight="1" x14ac:dyDescent="0.2">
      <c r="A591" s="8"/>
      <c r="B591" s="9"/>
      <c r="C591" s="8"/>
      <c r="D591" s="9"/>
      <c r="E591" s="9"/>
      <c r="F591" s="9"/>
      <c r="G591" s="9"/>
      <c r="H591" s="8"/>
      <c r="I591" s="9"/>
      <c r="J591" s="9"/>
      <c r="K591" s="9"/>
      <c r="L591" s="9"/>
    </row>
    <row r="592" spans="1:12" ht="15" customHeight="1" x14ac:dyDescent="0.2">
      <c r="A592" s="2"/>
      <c r="B592" s="3"/>
      <c r="C592" s="2"/>
      <c r="D592" s="3"/>
      <c r="E592" s="3"/>
      <c r="F592" s="3"/>
      <c r="G592" s="3"/>
      <c r="H592" s="2"/>
      <c r="I592" s="3"/>
      <c r="J592" s="3"/>
      <c r="K592" s="3"/>
      <c r="L592" s="3"/>
    </row>
    <row r="593" spans="1:12" ht="15" customHeight="1" x14ac:dyDescent="0.2">
      <c r="A593" s="8"/>
      <c r="B593" s="9"/>
      <c r="C593" s="8"/>
      <c r="D593" s="9"/>
      <c r="E593" s="9"/>
      <c r="F593" s="9"/>
      <c r="G593" s="9"/>
      <c r="H593" s="8"/>
      <c r="I593" s="9"/>
      <c r="J593" s="9"/>
      <c r="K593" s="9"/>
      <c r="L593" s="9"/>
    </row>
    <row r="594" spans="1:12" ht="15" customHeight="1" x14ac:dyDescent="0.2">
      <c r="A594" s="2"/>
      <c r="B594" s="3"/>
      <c r="C594" s="2"/>
      <c r="D594" s="3"/>
      <c r="E594" s="3"/>
      <c r="F594" s="3"/>
      <c r="G594" s="3"/>
      <c r="H594" s="2"/>
      <c r="I594" s="3"/>
      <c r="J594" s="3"/>
      <c r="K594" s="3"/>
      <c r="L594" s="3"/>
    </row>
    <row r="595" spans="1:12" ht="15" customHeight="1" x14ac:dyDescent="0.2">
      <c r="A595" s="8"/>
      <c r="B595" s="9"/>
      <c r="C595" s="8"/>
      <c r="D595" s="9"/>
      <c r="E595" s="9"/>
      <c r="F595" s="9"/>
      <c r="G595" s="9"/>
      <c r="H595" s="8"/>
      <c r="I595" s="9"/>
      <c r="J595" s="9"/>
      <c r="K595" s="9"/>
      <c r="L595" s="9"/>
    </row>
    <row r="596" spans="1:12" ht="15" customHeight="1" x14ac:dyDescent="0.2">
      <c r="A596" s="2"/>
      <c r="B596" s="3"/>
      <c r="C596" s="2"/>
      <c r="D596" s="3"/>
      <c r="E596" s="3"/>
      <c r="F596" s="3"/>
      <c r="G596" s="3"/>
      <c r="H596" s="2"/>
      <c r="I596" s="3"/>
      <c r="J596" s="3"/>
      <c r="K596" s="3"/>
      <c r="L596" s="3"/>
    </row>
    <row r="597" spans="1:12" ht="15" customHeight="1" x14ac:dyDescent="0.2">
      <c r="A597" s="8"/>
      <c r="B597" s="9"/>
      <c r="C597" s="8"/>
      <c r="D597" s="9"/>
      <c r="E597" s="9"/>
      <c r="F597" s="9"/>
      <c r="G597" s="9"/>
      <c r="H597" s="8"/>
      <c r="I597" s="9"/>
      <c r="J597" s="9"/>
      <c r="K597" s="9"/>
      <c r="L597" s="9"/>
    </row>
    <row r="598" spans="1:12" ht="15" customHeight="1" x14ac:dyDescent="0.2">
      <c r="A598" s="2"/>
      <c r="B598" s="3"/>
      <c r="C598" s="2"/>
      <c r="D598" s="3"/>
      <c r="E598" s="3"/>
      <c r="F598" s="3"/>
      <c r="G598" s="3"/>
      <c r="H598" s="2"/>
      <c r="I598" s="3"/>
      <c r="J598" s="3"/>
      <c r="K598" s="3"/>
      <c r="L598" s="3"/>
    </row>
    <row r="599" spans="1:12" ht="15" customHeight="1" x14ac:dyDescent="0.2">
      <c r="A599" s="8"/>
      <c r="B599" s="9"/>
      <c r="C599" s="8"/>
      <c r="D599" s="9"/>
      <c r="E599" s="9"/>
      <c r="F599" s="9"/>
      <c r="G599" s="9"/>
      <c r="H599" s="8"/>
      <c r="I599" s="9"/>
      <c r="J599" s="9"/>
      <c r="K599" s="9"/>
      <c r="L599" s="9"/>
    </row>
    <row r="600" spans="1:12" ht="15" customHeight="1" x14ac:dyDescent="0.2">
      <c r="A600" s="2"/>
      <c r="B600" s="3"/>
      <c r="C600" s="2"/>
      <c r="D600" s="3"/>
      <c r="E600" s="3"/>
      <c r="F600" s="3"/>
      <c r="G600" s="3"/>
      <c r="H600" s="2"/>
      <c r="I600" s="3"/>
      <c r="J600" s="3"/>
      <c r="K600" s="3"/>
      <c r="L600" s="3"/>
    </row>
    <row r="601" spans="1:12" ht="15" customHeight="1" x14ac:dyDescent="0.2">
      <c r="A601" s="8"/>
      <c r="B601" s="9"/>
      <c r="C601" s="8"/>
      <c r="D601" s="9"/>
      <c r="E601" s="9"/>
      <c r="F601" s="9"/>
      <c r="G601" s="9"/>
      <c r="H601" s="8"/>
      <c r="I601" s="9"/>
      <c r="J601" s="9"/>
      <c r="K601" s="9"/>
      <c r="L601" s="9"/>
    </row>
    <row r="602" spans="1:12" ht="15" customHeight="1" x14ac:dyDescent="0.2">
      <c r="A602" s="2"/>
      <c r="B602" s="3"/>
      <c r="C602" s="2"/>
      <c r="D602" s="3"/>
      <c r="E602" s="3"/>
      <c r="F602" s="3"/>
      <c r="G602" s="3"/>
      <c r="H602" s="2"/>
      <c r="I602" s="3"/>
      <c r="J602" s="3"/>
      <c r="K602" s="3"/>
      <c r="L602" s="3"/>
    </row>
    <row r="603" spans="1:12" ht="15" customHeight="1" x14ac:dyDescent="0.2">
      <c r="A603" s="8"/>
      <c r="B603" s="9"/>
      <c r="C603" s="8"/>
      <c r="D603" s="9"/>
      <c r="E603" s="9"/>
      <c r="F603" s="9"/>
      <c r="G603" s="9"/>
      <c r="H603" s="8"/>
      <c r="I603" s="9"/>
      <c r="J603" s="9"/>
      <c r="K603" s="9"/>
      <c r="L603" s="9"/>
    </row>
    <row r="604" spans="1:12" ht="15" customHeight="1" x14ac:dyDescent="0.2">
      <c r="A604" s="2"/>
      <c r="B604" s="3"/>
      <c r="C604" s="2"/>
      <c r="D604" s="3"/>
      <c r="E604" s="3"/>
      <c r="F604" s="3"/>
      <c r="G604" s="3"/>
      <c r="H604" s="2"/>
      <c r="I604" s="3"/>
      <c r="J604" s="3"/>
      <c r="K604" s="3"/>
      <c r="L604" s="3"/>
    </row>
    <row r="605" spans="1:12" ht="15" customHeight="1" x14ac:dyDescent="0.2">
      <c r="A605" s="8"/>
      <c r="B605" s="9"/>
      <c r="C605" s="8"/>
      <c r="D605" s="9"/>
      <c r="E605" s="9"/>
      <c r="F605" s="9"/>
      <c r="G605" s="9"/>
      <c r="H605" s="8"/>
      <c r="I605" s="9"/>
      <c r="J605" s="9"/>
      <c r="K605" s="9"/>
      <c r="L605" s="9"/>
    </row>
    <row r="606" spans="1:12" ht="15" customHeight="1" x14ac:dyDescent="0.2">
      <c r="A606" s="2"/>
      <c r="B606" s="3"/>
      <c r="C606" s="2"/>
      <c r="D606" s="3"/>
      <c r="E606" s="3"/>
      <c r="F606" s="3"/>
      <c r="G606" s="3"/>
      <c r="H606" s="2"/>
      <c r="I606" s="3"/>
      <c r="J606" s="3"/>
      <c r="K606" s="3"/>
      <c r="L606" s="3"/>
    </row>
    <row r="607" spans="1:12" ht="15" customHeight="1" x14ac:dyDescent="0.2">
      <c r="A607" s="8"/>
      <c r="B607" s="9"/>
      <c r="C607" s="8"/>
      <c r="D607" s="9"/>
      <c r="E607" s="9"/>
      <c r="F607" s="9"/>
      <c r="G607" s="9"/>
      <c r="H607" s="8"/>
      <c r="I607" s="9"/>
      <c r="J607" s="9"/>
      <c r="K607" s="9"/>
      <c r="L607" s="9"/>
    </row>
    <row r="608" spans="1:12" ht="15" customHeight="1" x14ac:dyDescent="0.2">
      <c r="A608" s="2"/>
      <c r="B608" s="3"/>
      <c r="C608" s="2"/>
      <c r="D608" s="3"/>
      <c r="E608" s="3"/>
      <c r="F608" s="3"/>
      <c r="G608" s="3"/>
      <c r="H608" s="2"/>
      <c r="I608" s="3"/>
      <c r="J608" s="3"/>
      <c r="K608" s="3"/>
      <c r="L608" s="3"/>
    </row>
    <row r="609" spans="1:12" ht="15" customHeight="1" x14ac:dyDescent="0.2">
      <c r="A609" s="8"/>
      <c r="B609" s="9"/>
      <c r="C609" s="8"/>
      <c r="D609" s="9"/>
      <c r="E609" s="9"/>
      <c r="F609" s="9"/>
      <c r="G609" s="9"/>
      <c r="H609" s="8"/>
      <c r="I609" s="9"/>
      <c r="J609" s="9"/>
      <c r="K609" s="9"/>
      <c r="L609" s="9"/>
    </row>
    <row r="610" spans="1:12" ht="15" customHeight="1" x14ac:dyDescent="0.2">
      <c r="A610" s="2"/>
      <c r="B610" s="3"/>
      <c r="C610" s="2"/>
      <c r="D610" s="3"/>
      <c r="E610" s="3"/>
      <c r="F610" s="3"/>
      <c r="G610" s="3"/>
      <c r="H610" s="2"/>
      <c r="I610" s="3"/>
      <c r="J610" s="3"/>
      <c r="K610" s="3"/>
      <c r="L610" s="3"/>
    </row>
    <row r="611" spans="1:12" ht="15" customHeight="1" x14ac:dyDescent="0.2">
      <c r="A611" s="8"/>
      <c r="B611" s="9"/>
      <c r="C611" s="8"/>
      <c r="D611" s="9"/>
      <c r="E611" s="9"/>
      <c r="F611" s="9"/>
      <c r="G611" s="9"/>
      <c r="H611" s="8"/>
      <c r="I611" s="9"/>
      <c r="J611" s="9"/>
      <c r="K611" s="9"/>
      <c r="L611" s="9"/>
    </row>
    <row r="612" spans="1:12" ht="15" customHeight="1" x14ac:dyDescent="0.2">
      <c r="A612" s="2"/>
      <c r="B612" s="3"/>
      <c r="C612" s="2"/>
      <c r="D612" s="3"/>
      <c r="E612" s="3"/>
      <c r="F612" s="3"/>
      <c r="G612" s="3"/>
      <c r="H612" s="2"/>
      <c r="I612" s="3"/>
      <c r="J612" s="3"/>
      <c r="K612" s="3"/>
      <c r="L612" s="3"/>
    </row>
    <row r="613" spans="1:12" ht="15" customHeight="1" x14ac:dyDescent="0.2">
      <c r="A613" s="8"/>
      <c r="B613" s="9"/>
      <c r="C613" s="8"/>
      <c r="D613" s="9"/>
      <c r="E613" s="9"/>
      <c r="F613" s="9"/>
      <c r="G613" s="9"/>
      <c r="H613" s="8"/>
      <c r="I613" s="9"/>
      <c r="J613" s="9"/>
      <c r="K613" s="9"/>
      <c r="L613" s="9"/>
    </row>
    <row r="614" spans="1:12" ht="15" customHeight="1" x14ac:dyDescent="0.2">
      <c r="A614" s="2"/>
      <c r="B614" s="3"/>
      <c r="C614" s="2"/>
      <c r="D614" s="3"/>
      <c r="E614" s="3"/>
      <c r="F614" s="3"/>
      <c r="G614" s="3"/>
      <c r="H614" s="2"/>
      <c r="I614" s="3"/>
      <c r="J614" s="3"/>
      <c r="K614" s="3"/>
      <c r="L614" s="3"/>
    </row>
    <row r="615" spans="1:12" ht="15" customHeight="1" x14ac:dyDescent="0.2">
      <c r="A615" s="8"/>
      <c r="B615" s="9"/>
      <c r="C615" s="8"/>
      <c r="D615" s="9"/>
      <c r="E615" s="9"/>
      <c r="F615" s="9"/>
      <c r="G615" s="9"/>
      <c r="H615" s="8"/>
      <c r="I615" s="9"/>
      <c r="J615" s="9"/>
      <c r="K615" s="9"/>
      <c r="L615" s="9"/>
    </row>
    <row r="616" spans="1:12" ht="15" customHeight="1" x14ac:dyDescent="0.2">
      <c r="A616" s="2"/>
      <c r="B616" s="3"/>
      <c r="C616" s="2"/>
      <c r="D616" s="3"/>
      <c r="E616" s="3"/>
      <c r="F616" s="3"/>
      <c r="G616" s="3"/>
      <c r="H616" s="2"/>
      <c r="I616" s="3"/>
      <c r="J616" s="3"/>
      <c r="K616" s="3"/>
      <c r="L616" s="3"/>
    </row>
    <row r="617" spans="1:12" ht="15" customHeight="1" x14ac:dyDescent="0.2">
      <c r="A617" s="8"/>
      <c r="B617" s="9"/>
      <c r="C617" s="8"/>
      <c r="D617" s="9"/>
      <c r="E617" s="9"/>
      <c r="F617" s="9"/>
      <c r="G617" s="9"/>
      <c r="H617" s="8"/>
      <c r="I617" s="9"/>
      <c r="J617" s="9"/>
      <c r="K617" s="9"/>
      <c r="L617" s="9"/>
    </row>
    <row r="618" spans="1:12" ht="15" customHeight="1" x14ac:dyDescent="0.2">
      <c r="A618" s="2"/>
      <c r="B618" s="3"/>
      <c r="C618" s="2"/>
      <c r="D618" s="3"/>
      <c r="E618" s="3"/>
      <c r="F618" s="3"/>
      <c r="G618" s="3"/>
      <c r="H618" s="2"/>
      <c r="I618" s="3"/>
      <c r="J618" s="3"/>
      <c r="K618" s="3"/>
      <c r="L618" s="3"/>
    </row>
    <row r="619" spans="1:12" ht="15" customHeight="1" x14ac:dyDescent="0.2">
      <c r="A619" s="8"/>
      <c r="B619" s="9"/>
      <c r="C619" s="8"/>
      <c r="D619" s="9"/>
      <c r="E619" s="9"/>
      <c r="F619" s="9"/>
      <c r="G619" s="9"/>
      <c r="H619" s="8"/>
      <c r="I619" s="9"/>
      <c r="J619" s="9"/>
      <c r="K619" s="9"/>
      <c r="L619" s="9"/>
    </row>
    <row r="620" spans="1:12" ht="15" customHeight="1" x14ac:dyDescent="0.2">
      <c r="A620" s="2"/>
      <c r="B620" s="3"/>
      <c r="C620" s="2"/>
      <c r="D620" s="3"/>
      <c r="E620" s="3"/>
      <c r="F620" s="3"/>
      <c r="G620" s="3"/>
      <c r="H620" s="2"/>
      <c r="I620" s="3"/>
      <c r="J620" s="3"/>
      <c r="K620" s="3"/>
      <c r="L620" s="3"/>
    </row>
    <row r="621" spans="1:12" ht="15" customHeight="1" x14ac:dyDescent="0.2">
      <c r="A621" s="8"/>
      <c r="B621" s="9"/>
      <c r="C621" s="8"/>
      <c r="D621" s="9"/>
      <c r="E621" s="9"/>
      <c r="F621" s="9"/>
      <c r="G621" s="9"/>
      <c r="H621" s="8"/>
      <c r="I621" s="9"/>
      <c r="J621" s="9"/>
      <c r="K621" s="9"/>
      <c r="L621" s="9"/>
    </row>
    <row r="622" spans="1:12" ht="15" customHeight="1" x14ac:dyDescent="0.2">
      <c r="A622" s="2"/>
      <c r="B622" s="3"/>
      <c r="C622" s="2"/>
      <c r="D622" s="3"/>
      <c r="E622" s="3"/>
      <c r="F622" s="3"/>
      <c r="G622" s="3"/>
      <c r="H622" s="2"/>
      <c r="I622" s="3"/>
      <c r="J622" s="3"/>
      <c r="K622" s="3"/>
      <c r="L622" s="3"/>
    </row>
    <row r="623" spans="1:12" ht="15" customHeight="1" x14ac:dyDescent="0.2">
      <c r="A623" s="8"/>
      <c r="B623" s="9"/>
      <c r="C623" s="8"/>
      <c r="D623" s="9"/>
      <c r="E623" s="9"/>
      <c r="F623" s="9"/>
      <c r="G623" s="9"/>
      <c r="H623" s="8"/>
      <c r="I623" s="9"/>
      <c r="J623" s="9"/>
      <c r="K623" s="9"/>
      <c r="L623" s="9"/>
    </row>
    <row r="624" spans="1:12" ht="15" customHeight="1" x14ac:dyDescent="0.2">
      <c r="A624" s="2"/>
      <c r="B624" s="3"/>
      <c r="C624" s="2"/>
      <c r="D624" s="3"/>
      <c r="E624" s="3"/>
      <c r="F624" s="3"/>
      <c r="G624" s="3"/>
      <c r="H624" s="2"/>
      <c r="I624" s="3"/>
      <c r="J624" s="3"/>
      <c r="K624" s="3"/>
      <c r="L624" s="3"/>
    </row>
    <row r="625" spans="1:12" ht="15" customHeight="1" x14ac:dyDescent="0.2">
      <c r="A625" s="8"/>
      <c r="B625" s="9"/>
      <c r="C625" s="8"/>
      <c r="D625" s="9"/>
      <c r="E625" s="9"/>
      <c r="F625" s="9"/>
      <c r="G625" s="9"/>
      <c r="H625" s="8"/>
      <c r="I625" s="9"/>
      <c r="J625" s="9"/>
      <c r="K625" s="9"/>
      <c r="L625" s="9"/>
    </row>
    <row r="626" spans="1:12" ht="15" customHeight="1" x14ac:dyDescent="0.2">
      <c r="A626" s="2"/>
      <c r="B626" s="3"/>
      <c r="C626" s="2"/>
      <c r="D626" s="3"/>
      <c r="E626" s="3"/>
      <c r="F626" s="3"/>
      <c r="G626" s="3"/>
      <c r="H626" s="2"/>
      <c r="I626" s="3"/>
      <c r="J626" s="3"/>
      <c r="K626" s="3"/>
      <c r="L626" s="3"/>
    </row>
    <row r="627" spans="1:12" ht="15" customHeight="1" x14ac:dyDescent="0.2">
      <c r="A627" s="8"/>
      <c r="B627" s="9"/>
      <c r="C627" s="8"/>
      <c r="D627" s="9"/>
      <c r="E627" s="9"/>
      <c r="F627" s="9"/>
      <c r="G627" s="9"/>
      <c r="H627" s="8"/>
      <c r="I627" s="9"/>
      <c r="J627" s="9"/>
      <c r="K627" s="9"/>
      <c r="L627" s="9"/>
    </row>
    <row r="628" spans="1:12" ht="15" customHeight="1" x14ac:dyDescent="0.2">
      <c r="A628" s="2"/>
      <c r="B628" s="3"/>
      <c r="C628" s="2"/>
      <c r="D628" s="3"/>
      <c r="E628" s="3"/>
      <c r="F628" s="3"/>
      <c r="G628" s="3"/>
      <c r="H628" s="2"/>
      <c r="I628" s="3"/>
      <c r="J628" s="3"/>
      <c r="K628" s="3"/>
      <c r="L628" s="3"/>
    </row>
    <row r="629" spans="1:12" ht="15" customHeight="1" x14ac:dyDescent="0.2">
      <c r="A629" s="8"/>
      <c r="B629" s="9"/>
      <c r="C629" s="8"/>
      <c r="D629" s="9"/>
      <c r="E629" s="9"/>
      <c r="F629" s="9"/>
      <c r="G629" s="9"/>
      <c r="H629" s="8"/>
      <c r="I629" s="9"/>
      <c r="J629" s="9"/>
      <c r="K629" s="9"/>
      <c r="L629" s="9"/>
    </row>
    <row r="630" spans="1:12" ht="15" customHeight="1" x14ac:dyDescent="0.2">
      <c r="A630" s="2"/>
      <c r="B630" s="3"/>
      <c r="C630" s="2"/>
      <c r="D630" s="3"/>
      <c r="E630" s="3"/>
      <c r="F630" s="3"/>
      <c r="G630" s="3"/>
      <c r="H630" s="2"/>
      <c r="I630" s="3"/>
      <c r="J630" s="3"/>
      <c r="K630" s="3"/>
      <c r="L630" s="3"/>
    </row>
    <row r="631" spans="1:12" ht="15" customHeight="1" x14ac:dyDescent="0.2">
      <c r="A631" s="8"/>
      <c r="B631" s="9"/>
      <c r="C631" s="8"/>
      <c r="D631" s="9"/>
      <c r="E631" s="9"/>
      <c r="F631" s="9"/>
      <c r="G631" s="9"/>
      <c r="H631" s="8"/>
      <c r="I631" s="9"/>
      <c r="J631" s="9"/>
      <c r="K631" s="9"/>
      <c r="L631" s="9"/>
    </row>
    <row r="632" spans="1:12" ht="15" customHeight="1" x14ac:dyDescent="0.2">
      <c r="A632" s="2"/>
      <c r="B632" s="3"/>
      <c r="C632" s="2"/>
      <c r="D632" s="3"/>
      <c r="E632" s="3"/>
      <c r="F632" s="3"/>
      <c r="G632" s="3"/>
      <c r="H632" s="2"/>
      <c r="I632" s="3"/>
      <c r="J632" s="3"/>
      <c r="K632" s="3"/>
      <c r="L632" s="3"/>
    </row>
    <row r="633" spans="1:12" ht="15" customHeight="1" x14ac:dyDescent="0.2">
      <c r="A633" s="8"/>
      <c r="B633" s="9"/>
      <c r="C633" s="8"/>
      <c r="D633" s="9"/>
      <c r="E633" s="9"/>
      <c r="F633" s="9"/>
      <c r="G633" s="9"/>
      <c r="H633" s="8"/>
      <c r="I633" s="9"/>
      <c r="J633" s="9"/>
      <c r="K633" s="9"/>
      <c r="L633" s="9"/>
    </row>
    <row r="634" spans="1:12" ht="15" customHeight="1" x14ac:dyDescent="0.2">
      <c r="A634" s="2"/>
      <c r="B634" s="3"/>
      <c r="C634" s="2"/>
      <c r="D634" s="3"/>
      <c r="E634" s="3"/>
      <c r="F634" s="3"/>
      <c r="G634" s="3"/>
      <c r="H634" s="2"/>
      <c r="I634" s="3"/>
      <c r="J634" s="3"/>
      <c r="K634" s="3"/>
      <c r="L634" s="3"/>
    </row>
    <row r="635" spans="1:12" ht="15" customHeight="1" x14ac:dyDescent="0.2">
      <c r="A635" s="8"/>
      <c r="B635" s="9"/>
      <c r="C635" s="8"/>
      <c r="D635" s="9"/>
      <c r="E635" s="9"/>
      <c r="F635" s="9"/>
      <c r="G635" s="9"/>
      <c r="H635" s="8"/>
      <c r="I635" s="9"/>
      <c r="J635" s="9"/>
      <c r="K635" s="9"/>
      <c r="L635" s="9"/>
    </row>
    <row r="636" spans="1:12" ht="15" customHeight="1" x14ac:dyDescent="0.2">
      <c r="A636" s="2"/>
      <c r="B636" s="3"/>
      <c r="C636" s="2"/>
      <c r="D636" s="3"/>
      <c r="E636" s="3"/>
      <c r="F636" s="3"/>
      <c r="G636" s="3"/>
      <c r="H636" s="2"/>
      <c r="I636" s="3"/>
      <c r="J636" s="3"/>
      <c r="K636" s="3"/>
      <c r="L636" s="3"/>
    </row>
    <row r="637" spans="1:12" ht="15" customHeight="1" x14ac:dyDescent="0.2">
      <c r="A637" s="8"/>
      <c r="B637" s="9"/>
      <c r="C637" s="8"/>
      <c r="D637" s="9"/>
      <c r="E637" s="9"/>
      <c r="F637" s="9"/>
      <c r="G637" s="9"/>
      <c r="H637" s="8"/>
      <c r="I637" s="9"/>
      <c r="J637" s="9"/>
      <c r="K637" s="9"/>
      <c r="L637" s="9"/>
    </row>
    <row r="638" spans="1:12" ht="15" customHeight="1" x14ac:dyDescent="0.2">
      <c r="A638" s="2"/>
      <c r="B638" s="3"/>
      <c r="C638" s="2"/>
      <c r="D638" s="3"/>
      <c r="E638" s="3"/>
      <c r="F638" s="3"/>
      <c r="G638" s="3"/>
      <c r="H638" s="2"/>
      <c r="I638" s="3"/>
      <c r="J638" s="3"/>
      <c r="K638" s="3"/>
      <c r="L638" s="3"/>
    </row>
    <row r="639" spans="1:12" ht="15" customHeight="1" x14ac:dyDescent="0.2">
      <c r="A639" s="8"/>
      <c r="B639" s="9"/>
      <c r="C639" s="8"/>
      <c r="D639" s="9"/>
      <c r="E639" s="9"/>
      <c r="F639" s="9"/>
      <c r="G639" s="9"/>
      <c r="H639" s="8"/>
      <c r="I639" s="9"/>
      <c r="J639" s="9"/>
      <c r="K639" s="9"/>
      <c r="L639" s="9"/>
    </row>
    <row r="640" spans="1:12" ht="15" customHeight="1" x14ac:dyDescent="0.2">
      <c r="A640" s="2"/>
      <c r="B640" s="3"/>
      <c r="C640" s="2"/>
      <c r="D640" s="3"/>
      <c r="E640" s="3"/>
      <c r="F640" s="3"/>
      <c r="G640" s="3"/>
      <c r="H640" s="2"/>
      <c r="I640" s="3"/>
      <c r="J640" s="3"/>
      <c r="K640" s="3"/>
      <c r="L640" s="3"/>
    </row>
    <row r="641" spans="1:12" ht="15" customHeight="1" x14ac:dyDescent="0.2">
      <c r="A641" s="8"/>
      <c r="B641" s="9"/>
      <c r="C641" s="8"/>
      <c r="D641" s="9"/>
      <c r="E641" s="9"/>
      <c r="F641" s="9"/>
      <c r="G641" s="9"/>
      <c r="H641" s="8"/>
      <c r="I641" s="9"/>
      <c r="J641" s="9"/>
      <c r="K641" s="9"/>
      <c r="L641" s="9"/>
    </row>
    <row r="642" spans="1:12" ht="15" customHeight="1" x14ac:dyDescent="0.2">
      <c r="A642" s="2"/>
      <c r="B642" s="3"/>
      <c r="C642" s="2"/>
      <c r="D642" s="3"/>
      <c r="E642" s="3"/>
      <c r="F642" s="3"/>
      <c r="G642" s="3"/>
      <c r="H642" s="2"/>
      <c r="I642" s="3"/>
      <c r="J642" s="3"/>
      <c r="K642" s="3"/>
      <c r="L642" s="3"/>
    </row>
    <row r="643" spans="1:12" ht="15" customHeight="1" x14ac:dyDescent="0.2">
      <c r="A643" s="8"/>
      <c r="B643" s="9"/>
      <c r="C643" s="8"/>
      <c r="D643" s="9"/>
      <c r="E643" s="9"/>
      <c r="F643" s="9"/>
      <c r="G643" s="9"/>
      <c r="H643" s="8"/>
      <c r="I643" s="9"/>
      <c r="J643" s="9"/>
      <c r="K643" s="9"/>
      <c r="L643" s="9"/>
    </row>
    <row r="644" spans="1:12" ht="15" customHeight="1" x14ac:dyDescent="0.2">
      <c r="A644" s="2"/>
      <c r="B644" s="3"/>
      <c r="C644" s="2"/>
      <c r="D644" s="3"/>
      <c r="E644" s="3"/>
      <c r="F644" s="3"/>
      <c r="G644" s="3"/>
      <c r="H644" s="2"/>
      <c r="I644" s="3"/>
      <c r="J644" s="3"/>
      <c r="K644" s="3"/>
      <c r="L644" s="3"/>
    </row>
    <row r="645" spans="1:12" ht="15" customHeight="1" x14ac:dyDescent="0.2">
      <c r="A645" s="8"/>
      <c r="B645" s="9"/>
      <c r="C645" s="8"/>
      <c r="D645" s="9"/>
      <c r="E645" s="9"/>
      <c r="F645" s="9"/>
      <c r="G645" s="9"/>
      <c r="H645" s="8"/>
      <c r="I645" s="9"/>
      <c r="J645" s="9"/>
      <c r="K645" s="9"/>
      <c r="L645" s="9"/>
    </row>
    <row r="646" spans="1:12" ht="15" customHeight="1" x14ac:dyDescent="0.2">
      <c r="A646" s="2"/>
      <c r="B646" s="3"/>
      <c r="C646" s="2"/>
      <c r="D646" s="3"/>
      <c r="E646" s="3"/>
      <c r="F646" s="3"/>
      <c r="G646" s="3"/>
      <c r="H646" s="2"/>
      <c r="I646" s="3"/>
      <c r="J646" s="3"/>
      <c r="K646" s="3"/>
      <c r="L646" s="3"/>
    </row>
    <row r="647" spans="1:12" ht="15" customHeight="1" x14ac:dyDescent="0.2">
      <c r="A647" s="8"/>
      <c r="B647" s="9"/>
      <c r="C647" s="8"/>
      <c r="D647" s="9"/>
      <c r="E647" s="9"/>
      <c r="F647" s="9"/>
      <c r="G647" s="9"/>
      <c r="H647" s="8"/>
      <c r="I647" s="9"/>
      <c r="J647" s="9"/>
      <c r="K647" s="9"/>
      <c r="L647" s="9"/>
    </row>
    <row r="648" spans="1:12" ht="15" customHeight="1" x14ac:dyDescent="0.2">
      <c r="A648" s="2"/>
      <c r="B648" s="3"/>
      <c r="C648" s="2"/>
      <c r="D648" s="3"/>
      <c r="E648" s="3"/>
      <c r="F648" s="3"/>
      <c r="G648" s="3"/>
      <c r="H648" s="2"/>
      <c r="I648" s="3"/>
      <c r="J648" s="3"/>
      <c r="K648" s="3"/>
      <c r="L648" s="3"/>
    </row>
    <row r="649" spans="1:12" ht="15" customHeight="1" x14ac:dyDescent="0.2">
      <c r="A649" s="8"/>
      <c r="B649" s="9"/>
      <c r="C649" s="8"/>
      <c r="D649" s="9"/>
      <c r="E649" s="9"/>
      <c r="F649" s="9"/>
      <c r="G649" s="9"/>
      <c r="H649" s="8"/>
      <c r="I649" s="9"/>
      <c r="J649" s="9"/>
      <c r="K649" s="9"/>
      <c r="L649" s="9"/>
    </row>
    <row r="650" spans="1:12" ht="15" customHeight="1" x14ac:dyDescent="0.2">
      <c r="A650" s="2"/>
      <c r="B650" s="3"/>
      <c r="C650" s="2"/>
      <c r="D650" s="3"/>
      <c r="E650" s="3"/>
      <c r="F650" s="3"/>
      <c r="G650" s="3"/>
      <c r="H650" s="2"/>
      <c r="I650" s="3"/>
      <c r="J650" s="3"/>
      <c r="K650" s="3"/>
      <c r="L650" s="3"/>
    </row>
    <row r="651" spans="1:12" ht="15" customHeight="1" x14ac:dyDescent="0.2">
      <c r="A651" s="8"/>
      <c r="B651" s="9"/>
      <c r="C651" s="8"/>
      <c r="D651" s="9"/>
      <c r="E651" s="9"/>
      <c r="F651" s="9"/>
      <c r="G651" s="9"/>
      <c r="H651" s="8"/>
      <c r="I651" s="9"/>
      <c r="J651" s="9"/>
      <c r="K651" s="9"/>
      <c r="L651" s="9"/>
    </row>
    <row r="652" spans="1:12" ht="15" customHeight="1" x14ac:dyDescent="0.2">
      <c r="A652" s="2"/>
      <c r="B652" s="3"/>
      <c r="C652" s="2"/>
      <c r="D652" s="3"/>
      <c r="E652" s="3"/>
      <c r="F652" s="3"/>
      <c r="G652" s="3"/>
      <c r="H652" s="2"/>
      <c r="I652" s="3"/>
      <c r="J652" s="3"/>
      <c r="K652" s="3"/>
      <c r="L652" s="3"/>
    </row>
    <row r="653" spans="1:12" ht="15" customHeight="1" x14ac:dyDescent="0.2">
      <c r="A653" s="8"/>
      <c r="B653" s="9"/>
      <c r="C653" s="8"/>
      <c r="D653" s="9"/>
      <c r="E653" s="9"/>
      <c r="F653" s="9"/>
      <c r="G653" s="9"/>
      <c r="H653" s="8"/>
      <c r="I653" s="9"/>
      <c r="J653" s="9"/>
      <c r="K653" s="9"/>
      <c r="L653" s="9"/>
    </row>
    <row r="654" spans="1:12" ht="15" customHeight="1" x14ac:dyDescent="0.2">
      <c r="A654" s="2"/>
      <c r="B654" s="3"/>
      <c r="C654" s="2"/>
      <c r="D654" s="3"/>
      <c r="E654" s="3"/>
      <c r="F654" s="3"/>
      <c r="G654" s="3"/>
      <c r="H654" s="2"/>
      <c r="I654" s="3"/>
      <c r="J654" s="3"/>
      <c r="K654" s="3"/>
      <c r="L654" s="3"/>
    </row>
    <row r="655" spans="1:12" ht="15" customHeight="1" x14ac:dyDescent="0.2">
      <c r="A655" s="8"/>
      <c r="B655" s="9"/>
      <c r="C655" s="8"/>
      <c r="D655" s="9"/>
      <c r="E655" s="9"/>
      <c r="F655" s="9"/>
      <c r="G655" s="9"/>
      <c r="H655" s="8"/>
      <c r="I655" s="9"/>
      <c r="J655" s="9"/>
      <c r="K655" s="9"/>
      <c r="L655" s="9"/>
    </row>
    <row r="656" spans="1:12" ht="15" customHeight="1" x14ac:dyDescent="0.2">
      <c r="A656" s="2"/>
      <c r="B656" s="3"/>
      <c r="C656" s="2"/>
      <c r="D656" s="3"/>
      <c r="E656" s="3"/>
      <c r="F656" s="3"/>
      <c r="G656" s="3"/>
      <c r="H656" s="2"/>
      <c r="I656" s="3"/>
      <c r="J656" s="3"/>
      <c r="K656" s="3"/>
      <c r="L656" s="3"/>
    </row>
    <row r="657" spans="1:12" ht="15" customHeight="1" x14ac:dyDescent="0.2">
      <c r="A657" s="8"/>
      <c r="B657" s="9"/>
      <c r="C657" s="8"/>
      <c r="D657" s="9"/>
      <c r="E657" s="9"/>
      <c r="F657" s="9"/>
      <c r="G657" s="9"/>
      <c r="H657" s="8"/>
      <c r="I657" s="9"/>
      <c r="J657" s="9"/>
      <c r="K657" s="9"/>
      <c r="L657" s="9"/>
    </row>
    <row r="658" spans="1:12" ht="15" customHeight="1" x14ac:dyDescent="0.2">
      <c r="A658" s="2"/>
      <c r="B658" s="3"/>
      <c r="C658" s="2"/>
      <c r="D658" s="3"/>
      <c r="E658" s="3"/>
      <c r="F658" s="3"/>
      <c r="G658" s="3"/>
      <c r="H658" s="2"/>
      <c r="I658" s="3"/>
      <c r="J658" s="3"/>
      <c r="K658" s="3"/>
      <c r="L658" s="3"/>
    </row>
    <row r="659" spans="1:12" ht="15" customHeight="1" x14ac:dyDescent="0.2">
      <c r="A659" s="8"/>
      <c r="B659" s="9"/>
      <c r="C659" s="8"/>
      <c r="D659" s="9"/>
      <c r="E659" s="9"/>
      <c r="F659" s="9"/>
      <c r="G659" s="9"/>
      <c r="H659" s="8"/>
      <c r="I659" s="9"/>
      <c r="J659" s="9"/>
      <c r="K659" s="9"/>
      <c r="L659" s="9"/>
    </row>
    <row r="660" spans="1:12" ht="15" customHeight="1" x14ac:dyDescent="0.2">
      <c r="A660" s="2"/>
      <c r="B660" s="3"/>
      <c r="C660" s="2"/>
      <c r="D660" s="3"/>
      <c r="E660" s="3"/>
      <c r="F660" s="3"/>
      <c r="G660" s="3"/>
      <c r="H660" s="2"/>
      <c r="I660" s="3"/>
      <c r="J660" s="3"/>
      <c r="K660" s="3"/>
      <c r="L660" s="3"/>
    </row>
    <row r="661" spans="1:12" ht="15" customHeight="1" x14ac:dyDescent="0.2">
      <c r="A661" s="8"/>
      <c r="B661" s="9"/>
      <c r="C661" s="8"/>
      <c r="D661" s="9"/>
      <c r="E661" s="9"/>
      <c r="F661" s="9"/>
      <c r="G661" s="9"/>
      <c r="H661" s="8"/>
      <c r="I661" s="9"/>
      <c r="J661" s="9"/>
      <c r="K661" s="9"/>
      <c r="L661" s="9"/>
    </row>
    <row r="662" spans="1:12" ht="15" customHeight="1" x14ac:dyDescent="0.2">
      <c r="A662" s="2"/>
      <c r="B662" s="3"/>
      <c r="C662" s="2"/>
      <c r="D662" s="3"/>
      <c r="E662" s="3"/>
      <c r="F662" s="3"/>
      <c r="G662" s="3"/>
      <c r="H662" s="2"/>
      <c r="I662" s="3"/>
      <c r="J662" s="3"/>
      <c r="K662" s="3"/>
      <c r="L662" s="3"/>
    </row>
    <row r="663" spans="1:12" ht="15" customHeight="1" x14ac:dyDescent="0.2">
      <c r="A663" s="8"/>
      <c r="B663" s="9"/>
      <c r="C663" s="8"/>
      <c r="D663" s="9"/>
      <c r="E663" s="9"/>
      <c r="F663" s="9"/>
      <c r="G663" s="9"/>
      <c r="H663" s="8"/>
      <c r="I663" s="9"/>
      <c r="J663" s="9"/>
      <c r="K663" s="9"/>
      <c r="L663" s="9"/>
    </row>
    <row r="664" spans="1:12" ht="15" customHeight="1" x14ac:dyDescent="0.2">
      <c r="A664" s="2"/>
      <c r="B664" s="3"/>
      <c r="C664" s="2"/>
      <c r="D664" s="3"/>
      <c r="E664" s="3"/>
      <c r="F664" s="3"/>
      <c r="G664" s="3"/>
      <c r="H664" s="2"/>
      <c r="I664" s="3"/>
      <c r="J664" s="3"/>
      <c r="K664" s="3"/>
      <c r="L664" s="3"/>
    </row>
    <row r="665" spans="1:12" ht="15" customHeight="1" x14ac:dyDescent="0.2">
      <c r="A665" s="8"/>
      <c r="B665" s="9"/>
      <c r="C665" s="8"/>
      <c r="D665" s="9"/>
      <c r="E665" s="9"/>
      <c r="F665" s="9"/>
      <c r="G665" s="9"/>
      <c r="H665" s="8"/>
      <c r="I665" s="9"/>
      <c r="J665" s="9"/>
      <c r="K665" s="9"/>
      <c r="L665" s="9"/>
    </row>
    <row r="666" spans="1:12" ht="15" customHeight="1" x14ac:dyDescent="0.2">
      <c r="A666" s="2"/>
      <c r="B666" s="3"/>
      <c r="C666" s="2"/>
      <c r="D666" s="3"/>
      <c r="E666" s="3"/>
      <c r="F666" s="3"/>
      <c r="G666" s="3"/>
      <c r="H666" s="2"/>
      <c r="I666" s="3"/>
      <c r="J666" s="3"/>
      <c r="K666" s="3"/>
      <c r="L666" s="3"/>
    </row>
    <row r="667" spans="1:12" ht="15" customHeight="1" x14ac:dyDescent="0.2">
      <c r="A667" s="8"/>
      <c r="B667" s="9"/>
      <c r="C667" s="8"/>
      <c r="D667" s="9"/>
      <c r="E667" s="9"/>
      <c r="F667" s="9"/>
      <c r="G667" s="9"/>
      <c r="H667" s="8"/>
      <c r="I667" s="9"/>
      <c r="J667" s="9"/>
      <c r="K667" s="9"/>
      <c r="L667" s="9"/>
    </row>
    <row r="668" spans="1:12" ht="15" customHeight="1" x14ac:dyDescent="0.2">
      <c r="A668" s="2"/>
      <c r="B668" s="3"/>
      <c r="C668" s="2"/>
      <c r="D668" s="3"/>
      <c r="E668" s="3"/>
      <c r="F668" s="3"/>
      <c r="G668" s="3"/>
      <c r="H668" s="2"/>
      <c r="I668" s="3"/>
      <c r="J668" s="3"/>
      <c r="K668" s="3"/>
      <c r="L668" s="3"/>
    </row>
    <row r="669" spans="1:12" ht="15" customHeight="1" x14ac:dyDescent="0.2">
      <c r="A669" s="8"/>
      <c r="B669" s="9"/>
      <c r="C669" s="8"/>
      <c r="D669" s="9"/>
      <c r="E669" s="9"/>
      <c r="F669" s="9"/>
      <c r="G669" s="9"/>
      <c r="H669" s="8"/>
      <c r="I669" s="9"/>
      <c r="J669" s="9"/>
      <c r="K669" s="9"/>
      <c r="L669" s="9"/>
    </row>
    <row r="670" spans="1:12" ht="15" customHeight="1" x14ac:dyDescent="0.2">
      <c r="A670" s="2"/>
      <c r="B670" s="3"/>
      <c r="C670" s="2"/>
      <c r="D670" s="3"/>
      <c r="E670" s="3"/>
      <c r="F670" s="3"/>
      <c r="G670" s="3"/>
      <c r="H670" s="2"/>
      <c r="I670" s="3"/>
      <c r="J670" s="3"/>
      <c r="K670" s="3"/>
      <c r="L670" s="3"/>
    </row>
    <row r="671" spans="1:12" ht="15" customHeight="1" x14ac:dyDescent="0.2">
      <c r="A671" s="8"/>
      <c r="B671" s="9"/>
      <c r="C671" s="8"/>
      <c r="D671" s="9"/>
      <c r="E671" s="9"/>
      <c r="F671" s="9"/>
      <c r="G671" s="9"/>
      <c r="H671" s="8"/>
      <c r="I671" s="9"/>
      <c r="J671" s="9"/>
      <c r="K671" s="9"/>
      <c r="L671" s="9"/>
    </row>
    <row r="672" spans="1:12" ht="15" customHeight="1" x14ac:dyDescent="0.2">
      <c r="A672" s="2"/>
      <c r="B672" s="3"/>
      <c r="C672" s="2"/>
      <c r="D672" s="3"/>
      <c r="E672" s="3"/>
      <c r="F672" s="3"/>
      <c r="G672" s="3"/>
      <c r="H672" s="2"/>
      <c r="I672" s="3"/>
      <c r="J672" s="3"/>
      <c r="K672" s="3"/>
      <c r="L672" s="3"/>
    </row>
    <row r="673" spans="1:12" ht="15" customHeight="1" x14ac:dyDescent="0.2">
      <c r="A673" s="8"/>
      <c r="B673" s="9"/>
      <c r="C673" s="8"/>
      <c r="D673" s="9"/>
      <c r="E673" s="9"/>
      <c r="F673" s="9"/>
      <c r="G673" s="9"/>
      <c r="H673" s="8"/>
      <c r="I673" s="9"/>
      <c r="J673" s="9"/>
      <c r="K673" s="9"/>
      <c r="L673" s="9"/>
    </row>
    <row r="674" spans="1:12" ht="15" customHeight="1" x14ac:dyDescent="0.2">
      <c r="A674" s="2"/>
      <c r="B674" s="3"/>
      <c r="C674" s="2"/>
      <c r="D674" s="3"/>
      <c r="E674" s="3"/>
      <c r="F674" s="3"/>
      <c r="G674" s="3"/>
      <c r="H674" s="2"/>
      <c r="I674" s="3"/>
      <c r="J674" s="3"/>
      <c r="K674" s="3"/>
      <c r="L674" s="3"/>
    </row>
    <row r="675" spans="1:12" ht="15" customHeight="1" x14ac:dyDescent="0.2">
      <c r="A675" s="8"/>
      <c r="B675" s="9"/>
      <c r="C675" s="8"/>
      <c r="D675" s="9"/>
      <c r="E675" s="9"/>
      <c r="F675" s="9"/>
      <c r="G675" s="9"/>
      <c r="H675" s="8"/>
      <c r="I675" s="9"/>
      <c r="J675" s="9"/>
      <c r="K675" s="9"/>
      <c r="L675" s="9"/>
    </row>
    <row r="676" spans="1:12" ht="15" customHeight="1" x14ac:dyDescent="0.2">
      <c r="A676" s="2"/>
      <c r="B676" s="3"/>
      <c r="C676" s="2"/>
      <c r="D676" s="3"/>
      <c r="E676" s="3"/>
      <c r="F676" s="3"/>
      <c r="G676" s="3"/>
      <c r="H676" s="2"/>
      <c r="I676" s="3"/>
      <c r="J676" s="3"/>
      <c r="K676" s="3"/>
      <c r="L676" s="3"/>
    </row>
    <row r="677" spans="1:12" ht="15" customHeight="1" x14ac:dyDescent="0.2">
      <c r="A677" s="8"/>
      <c r="B677" s="9"/>
      <c r="C677" s="8"/>
      <c r="D677" s="9"/>
      <c r="E677" s="9"/>
      <c r="F677" s="9"/>
      <c r="G677" s="9"/>
      <c r="H677" s="8"/>
      <c r="I677" s="9"/>
      <c r="J677" s="9"/>
      <c r="K677" s="9"/>
      <c r="L677" s="9"/>
    </row>
    <row r="678" spans="1:12" ht="15" customHeight="1" x14ac:dyDescent="0.2">
      <c r="A678" s="2"/>
      <c r="B678" s="3"/>
      <c r="C678" s="2"/>
      <c r="D678" s="3"/>
      <c r="E678" s="3"/>
      <c r="F678" s="3"/>
      <c r="G678" s="3"/>
      <c r="H678" s="2"/>
      <c r="I678" s="3"/>
      <c r="J678" s="3"/>
      <c r="K678" s="3"/>
      <c r="L678" s="3"/>
    </row>
    <row r="679" spans="1:12" ht="15" customHeight="1" x14ac:dyDescent="0.2">
      <c r="A679" s="8"/>
      <c r="B679" s="9"/>
      <c r="C679" s="8"/>
      <c r="D679" s="9"/>
      <c r="E679" s="9"/>
      <c r="F679" s="9"/>
      <c r="G679" s="9"/>
      <c r="H679" s="8"/>
      <c r="I679" s="9"/>
      <c r="J679" s="9"/>
      <c r="K679" s="9"/>
      <c r="L679" s="9"/>
    </row>
    <row r="680" spans="1:12" ht="15" customHeight="1" x14ac:dyDescent="0.2">
      <c r="A680" s="2"/>
      <c r="B680" s="3"/>
      <c r="C680" s="2"/>
      <c r="D680" s="3"/>
      <c r="E680" s="3"/>
      <c r="F680" s="3"/>
      <c r="G680" s="3"/>
      <c r="H680" s="2"/>
      <c r="I680" s="3"/>
      <c r="J680" s="3"/>
      <c r="K680" s="3"/>
      <c r="L680" s="3"/>
    </row>
    <row r="681" spans="1:12" ht="15" customHeight="1" x14ac:dyDescent="0.2">
      <c r="A681" s="8"/>
      <c r="B681" s="9"/>
      <c r="C681" s="8"/>
      <c r="D681" s="9"/>
      <c r="E681" s="9"/>
      <c r="F681" s="9"/>
      <c r="G681" s="9"/>
      <c r="H681" s="8"/>
      <c r="I681" s="9"/>
      <c r="J681" s="9"/>
      <c r="K681" s="9"/>
      <c r="L681" s="9"/>
    </row>
    <row r="682" spans="1:12" ht="15" customHeight="1" x14ac:dyDescent="0.2">
      <c r="A682" s="2"/>
      <c r="B682" s="3"/>
      <c r="C682" s="2"/>
      <c r="D682" s="3"/>
      <c r="E682" s="3"/>
      <c r="F682" s="3"/>
      <c r="G682" s="3"/>
      <c r="H682" s="2"/>
      <c r="I682" s="3"/>
      <c r="J682" s="3"/>
      <c r="K682" s="3"/>
      <c r="L682" s="3"/>
    </row>
    <row r="683" spans="1:12" ht="15" customHeight="1" x14ac:dyDescent="0.2">
      <c r="A683" s="8"/>
      <c r="B683" s="9"/>
      <c r="C683" s="8"/>
      <c r="D683" s="9"/>
      <c r="E683" s="9"/>
      <c r="F683" s="9"/>
      <c r="G683" s="9"/>
      <c r="H683" s="8"/>
      <c r="I683" s="9"/>
      <c r="J683" s="9"/>
      <c r="K683" s="9"/>
      <c r="L683" s="9"/>
    </row>
    <row r="684" spans="1:12" ht="15" customHeight="1" x14ac:dyDescent="0.2">
      <c r="A684" s="2"/>
      <c r="B684" s="3"/>
      <c r="C684" s="2"/>
      <c r="D684" s="3"/>
      <c r="E684" s="3"/>
      <c r="F684" s="3"/>
      <c r="G684" s="3"/>
      <c r="H684" s="2"/>
      <c r="I684" s="3"/>
      <c r="J684" s="3"/>
      <c r="K684" s="3"/>
      <c r="L684" s="3"/>
    </row>
    <row r="685" spans="1:12" ht="15" customHeight="1" x14ac:dyDescent="0.2">
      <c r="A685" s="8"/>
      <c r="B685" s="9"/>
      <c r="C685" s="8"/>
      <c r="D685" s="9"/>
      <c r="E685" s="9"/>
      <c r="F685" s="9"/>
      <c r="G685" s="9"/>
      <c r="H685" s="8"/>
      <c r="I685" s="9"/>
      <c r="J685" s="9"/>
      <c r="K685" s="9"/>
      <c r="L685" s="9"/>
    </row>
    <row r="686" spans="1:12" ht="15" customHeight="1" x14ac:dyDescent="0.2">
      <c r="A686" s="2"/>
      <c r="B686" s="3"/>
      <c r="C686" s="2"/>
      <c r="D686" s="3"/>
      <c r="E686" s="3"/>
      <c r="F686" s="3"/>
      <c r="G686" s="3"/>
      <c r="H686" s="2"/>
      <c r="I686" s="3"/>
      <c r="J686" s="3"/>
      <c r="K686" s="3"/>
      <c r="L686" s="3"/>
    </row>
    <row r="687" spans="1:12" ht="15" customHeight="1" x14ac:dyDescent="0.2">
      <c r="A687" s="8"/>
      <c r="B687" s="9"/>
      <c r="C687" s="8"/>
      <c r="D687" s="9"/>
      <c r="E687" s="9"/>
      <c r="F687" s="9"/>
      <c r="G687" s="9"/>
      <c r="H687" s="8"/>
      <c r="I687" s="9"/>
      <c r="J687" s="9"/>
      <c r="K687" s="9"/>
      <c r="L687" s="9"/>
    </row>
    <row r="688" spans="1:12" ht="15" customHeight="1" x14ac:dyDescent="0.2">
      <c r="A688" s="2"/>
      <c r="B688" s="3"/>
      <c r="C688" s="2"/>
      <c r="D688" s="3"/>
      <c r="E688" s="3"/>
      <c r="F688" s="3"/>
      <c r="G688" s="3"/>
      <c r="H688" s="2"/>
      <c r="I688" s="3"/>
      <c r="J688" s="3"/>
      <c r="K688" s="3"/>
      <c r="L688" s="3"/>
    </row>
    <row r="689" spans="1:12" ht="15" customHeight="1" x14ac:dyDescent="0.2">
      <c r="A689" s="8"/>
      <c r="B689" s="9"/>
      <c r="C689" s="8"/>
      <c r="D689" s="9"/>
      <c r="E689" s="9"/>
      <c r="F689" s="9"/>
      <c r="G689" s="9"/>
      <c r="H689" s="8"/>
      <c r="I689" s="9"/>
      <c r="J689" s="9"/>
      <c r="K689" s="9"/>
      <c r="L689" s="9"/>
    </row>
    <row r="690" spans="1:12" ht="15" customHeight="1" x14ac:dyDescent="0.2">
      <c r="A690" s="2"/>
      <c r="B690" s="3"/>
      <c r="C690" s="2"/>
      <c r="D690" s="3"/>
      <c r="E690" s="3"/>
      <c r="F690" s="3"/>
      <c r="G690" s="3"/>
      <c r="H690" s="2"/>
      <c r="I690" s="3"/>
      <c r="J690" s="3"/>
      <c r="K690" s="3"/>
      <c r="L690" s="3"/>
    </row>
    <row r="691" spans="1:12" ht="15" customHeight="1" x14ac:dyDescent="0.2">
      <c r="A691" s="8"/>
      <c r="B691" s="9"/>
      <c r="C691" s="8"/>
      <c r="D691" s="9"/>
      <c r="E691" s="9"/>
      <c r="F691" s="9"/>
      <c r="G691" s="9"/>
      <c r="H691" s="8"/>
      <c r="I691" s="9"/>
      <c r="J691" s="9"/>
      <c r="K691" s="9"/>
      <c r="L691" s="9"/>
    </row>
    <row r="692" spans="1:12" ht="15" customHeight="1" x14ac:dyDescent="0.2">
      <c r="A692" s="2"/>
      <c r="B692" s="3"/>
      <c r="C692" s="2"/>
      <c r="D692" s="3"/>
      <c r="E692" s="3"/>
      <c r="F692" s="3"/>
      <c r="G692" s="3"/>
      <c r="H692" s="2"/>
      <c r="I692" s="3"/>
      <c r="J692" s="3"/>
      <c r="K692" s="3"/>
      <c r="L692" s="3"/>
    </row>
    <row r="693" spans="1:12" ht="15" customHeight="1" x14ac:dyDescent="0.2">
      <c r="A693" s="8"/>
      <c r="B693" s="9"/>
      <c r="C693" s="8"/>
      <c r="D693" s="9"/>
      <c r="E693" s="9"/>
      <c r="F693" s="9"/>
      <c r="G693" s="9"/>
      <c r="H693" s="8"/>
      <c r="I693" s="9"/>
      <c r="J693" s="9"/>
      <c r="K693" s="9"/>
      <c r="L693" s="9"/>
    </row>
    <row r="694" spans="1:12" ht="15" customHeight="1" x14ac:dyDescent="0.2">
      <c r="A694" s="2"/>
      <c r="B694" s="3"/>
      <c r="C694" s="2"/>
      <c r="D694" s="3"/>
      <c r="E694" s="3"/>
      <c r="F694" s="3"/>
      <c r="G694" s="3"/>
      <c r="H694" s="2"/>
      <c r="I694" s="3"/>
      <c r="J694" s="3"/>
      <c r="K694" s="3"/>
      <c r="L694" s="3"/>
    </row>
    <row r="695" spans="1:12" ht="15" customHeight="1" x14ac:dyDescent="0.2">
      <c r="A695" s="8"/>
      <c r="B695" s="9"/>
      <c r="C695" s="8"/>
      <c r="D695" s="9"/>
      <c r="E695" s="9"/>
      <c r="F695" s="9"/>
      <c r="G695" s="9"/>
      <c r="H695" s="8"/>
      <c r="I695" s="9"/>
      <c r="J695" s="9"/>
      <c r="K695" s="9"/>
      <c r="L695" s="9"/>
    </row>
    <row r="696" spans="1:12" ht="15" customHeight="1" x14ac:dyDescent="0.2">
      <c r="A696" s="2"/>
      <c r="B696" s="3"/>
      <c r="C696" s="2"/>
      <c r="D696" s="3"/>
      <c r="E696" s="3"/>
      <c r="F696" s="3"/>
      <c r="G696" s="3"/>
      <c r="H696" s="2"/>
      <c r="I696" s="3"/>
      <c r="J696" s="3"/>
      <c r="K696" s="3"/>
      <c r="L696" s="3"/>
    </row>
    <row r="697" spans="1:12" ht="15" customHeight="1" x14ac:dyDescent="0.2">
      <c r="A697" s="8"/>
      <c r="B697" s="9"/>
      <c r="C697" s="8"/>
      <c r="D697" s="9"/>
      <c r="E697" s="9"/>
      <c r="F697" s="9"/>
      <c r="G697" s="9"/>
      <c r="H697" s="8"/>
      <c r="I697" s="9"/>
      <c r="J697" s="9"/>
      <c r="K697" s="9"/>
      <c r="L697" s="9"/>
    </row>
    <row r="698" spans="1:12" ht="15" customHeight="1" x14ac:dyDescent="0.2">
      <c r="A698" s="2"/>
      <c r="B698" s="3"/>
      <c r="C698" s="2"/>
      <c r="D698" s="3"/>
      <c r="E698" s="3"/>
      <c r="F698" s="3"/>
      <c r="G698" s="3"/>
      <c r="H698" s="2"/>
      <c r="I698" s="3"/>
      <c r="J698" s="3"/>
      <c r="K698" s="3"/>
      <c r="L698" s="3"/>
    </row>
    <row r="699" spans="1:12" ht="15" customHeight="1" x14ac:dyDescent="0.2">
      <c r="A699" s="8"/>
      <c r="B699" s="9"/>
      <c r="C699" s="8"/>
      <c r="D699" s="9"/>
      <c r="E699" s="9"/>
      <c r="F699" s="9"/>
      <c r="G699" s="9"/>
      <c r="H699" s="8"/>
      <c r="I699" s="9"/>
      <c r="J699" s="9"/>
      <c r="K699" s="9"/>
      <c r="L699" s="9"/>
    </row>
    <row r="700" spans="1:12" ht="15" customHeight="1" x14ac:dyDescent="0.2">
      <c r="A700" s="2"/>
      <c r="B700" s="3"/>
      <c r="C700" s="2"/>
      <c r="D700" s="3"/>
      <c r="E700" s="3"/>
      <c r="F700" s="3"/>
      <c r="G700" s="3"/>
      <c r="H700" s="2"/>
      <c r="I700" s="3"/>
      <c r="J700" s="3"/>
      <c r="K700" s="3"/>
      <c r="L700" s="3"/>
    </row>
    <row r="701" spans="1:12" ht="15" customHeight="1" x14ac:dyDescent="0.2">
      <c r="A701" s="8"/>
      <c r="B701" s="9"/>
      <c r="C701" s="8"/>
      <c r="D701" s="9"/>
      <c r="E701" s="9"/>
      <c r="F701" s="9"/>
      <c r="G701" s="9"/>
      <c r="H701" s="8"/>
      <c r="I701" s="9"/>
      <c r="J701" s="9"/>
      <c r="K701" s="9"/>
      <c r="L701" s="9"/>
    </row>
    <row r="702" spans="1:12" ht="15" customHeight="1" x14ac:dyDescent="0.2">
      <c r="A702" s="2"/>
      <c r="B702" s="3"/>
      <c r="C702" s="2"/>
      <c r="D702" s="3"/>
      <c r="E702" s="3"/>
      <c r="F702" s="3"/>
      <c r="G702" s="3"/>
      <c r="H702" s="2"/>
      <c r="I702" s="3"/>
      <c r="J702" s="3"/>
      <c r="K702" s="3"/>
      <c r="L702" s="3"/>
    </row>
    <row r="703" spans="1:12" ht="15" customHeight="1" x14ac:dyDescent="0.2">
      <c r="A703" s="8"/>
      <c r="B703" s="9"/>
      <c r="C703" s="8"/>
      <c r="D703" s="9"/>
      <c r="E703" s="9"/>
      <c r="F703" s="9"/>
      <c r="G703" s="9"/>
      <c r="H703" s="8"/>
      <c r="I703" s="9"/>
      <c r="J703" s="9"/>
      <c r="K703" s="9"/>
      <c r="L703" s="9"/>
    </row>
    <row r="704" spans="1:12" ht="15" customHeight="1" x14ac:dyDescent="0.2">
      <c r="A704" s="2"/>
      <c r="B704" s="3"/>
      <c r="C704" s="2"/>
      <c r="D704" s="3"/>
      <c r="E704" s="3"/>
      <c r="F704" s="3"/>
      <c r="G704" s="3"/>
      <c r="H704" s="2"/>
      <c r="I704" s="3"/>
      <c r="J704" s="3"/>
      <c r="K704" s="3"/>
      <c r="L704" s="3"/>
    </row>
    <row r="705" spans="1:12" ht="15" customHeight="1" x14ac:dyDescent="0.2">
      <c r="A705" s="8"/>
      <c r="B705" s="9"/>
      <c r="C705" s="8"/>
      <c r="D705" s="9"/>
      <c r="E705" s="9"/>
      <c r="F705" s="9"/>
      <c r="G705" s="9"/>
      <c r="H705" s="8"/>
      <c r="I705" s="9"/>
      <c r="J705" s="9"/>
      <c r="K705" s="9"/>
      <c r="L705" s="9"/>
    </row>
    <row r="706" spans="1:12" ht="15" customHeight="1" x14ac:dyDescent="0.2">
      <c r="A706" s="2"/>
      <c r="B706" s="3"/>
      <c r="C706" s="2"/>
      <c r="D706" s="3"/>
      <c r="E706" s="3"/>
      <c r="F706" s="3"/>
      <c r="G706" s="3"/>
      <c r="H706" s="2"/>
      <c r="I706" s="3"/>
      <c r="J706" s="3"/>
      <c r="K706" s="3"/>
      <c r="L706" s="3"/>
    </row>
    <row r="707" spans="1:12" ht="15" customHeight="1" x14ac:dyDescent="0.2">
      <c r="A707" s="8"/>
      <c r="B707" s="9"/>
      <c r="C707" s="8"/>
      <c r="D707" s="9"/>
      <c r="E707" s="9"/>
      <c r="F707" s="9"/>
      <c r="G707" s="9"/>
      <c r="H707" s="8"/>
      <c r="I707" s="9"/>
      <c r="J707" s="9"/>
      <c r="K707" s="9"/>
      <c r="L707" s="9"/>
    </row>
    <row r="708" spans="1:12" ht="15" customHeight="1" x14ac:dyDescent="0.2">
      <c r="A708" s="2"/>
      <c r="B708" s="3"/>
      <c r="C708" s="2"/>
      <c r="D708" s="3"/>
      <c r="E708" s="3"/>
      <c r="F708" s="3"/>
      <c r="G708" s="3"/>
      <c r="H708" s="2"/>
      <c r="I708" s="3"/>
      <c r="J708" s="3"/>
      <c r="K708" s="3"/>
      <c r="L708" s="3"/>
    </row>
    <row r="709" spans="1:12" ht="15" customHeight="1" x14ac:dyDescent="0.2">
      <c r="A709" s="8"/>
      <c r="B709" s="9"/>
      <c r="C709" s="8"/>
      <c r="D709" s="9"/>
      <c r="E709" s="9"/>
      <c r="F709" s="9"/>
      <c r="G709" s="9"/>
      <c r="H709" s="8"/>
      <c r="I709" s="9"/>
      <c r="J709" s="9"/>
      <c r="K709" s="9"/>
      <c r="L709" s="9"/>
    </row>
    <row r="710" spans="1:12" ht="15" customHeight="1" x14ac:dyDescent="0.2">
      <c r="A710" s="2"/>
      <c r="B710" s="3"/>
      <c r="C710" s="2"/>
      <c r="D710" s="3"/>
      <c r="E710" s="3"/>
      <c r="F710" s="3"/>
      <c r="G710" s="3"/>
      <c r="H710" s="2"/>
      <c r="I710" s="3"/>
      <c r="J710" s="3"/>
      <c r="K710" s="3"/>
      <c r="L710" s="3"/>
    </row>
    <row r="711" spans="1:12" ht="15" customHeight="1" x14ac:dyDescent="0.2">
      <c r="A711" s="8"/>
      <c r="B711" s="9"/>
      <c r="C711" s="8"/>
      <c r="D711" s="9"/>
      <c r="E711" s="9"/>
      <c r="F711" s="9"/>
      <c r="G711" s="9"/>
      <c r="H711" s="8"/>
      <c r="I711" s="9"/>
      <c r="J711" s="9"/>
      <c r="K711" s="9"/>
      <c r="L711" s="9"/>
    </row>
    <row r="712" spans="1:12" ht="15" customHeight="1" x14ac:dyDescent="0.2">
      <c r="A712" s="2"/>
      <c r="B712" s="3"/>
      <c r="C712" s="2"/>
      <c r="D712" s="3"/>
      <c r="E712" s="3"/>
      <c r="F712" s="3"/>
      <c r="G712" s="3"/>
      <c r="H712" s="2"/>
      <c r="I712" s="3"/>
      <c r="J712" s="3"/>
      <c r="K712" s="3"/>
      <c r="L712" s="3"/>
    </row>
    <row r="713" spans="1:12" ht="15" customHeight="1" x14ac:dyDescent="0.2">
      <c r="A713" s="8"/>
      <c r="B713" s="9"/>
      <c r="C713" s="8"/>
      <c r="D713" s="9"/>
      <c r="E713" s="9"/>
      <c r="F713" s="9"/>
      <c r="G713" s="9"/>
      <c r="H713" s="8"/>
      <c r="I713" s="9"/>
      <c r="J713" s="9"/>
      <c r="K713" s="9"/>
      <c r="L713" s="9"/>
    </row>
    <row r="714" spans="1:12" ht="15" customHeight="1" x14ac:dyDescent="0.2">
      <c r="A714" s="2"/>
      <c r="B714" s="3"/>
      <c r="C714" s="2"/>
      <c r="D714" s="3"/>
      <c r="E714" s="3"/>
      <c r="F714" s="3"/>
      <c r="G714" s="3"/>
      <c r="H714" s="2"/>
      <c r="I714" s="3"/>
      <c r="J714" s="3"/>
      <c r="K714" s="3"/>
      <c r="L714" s="3"/>
    </row>
    <row r="715" spans="1:12" ht="15" customHeight="1" x14ac:dyDescent="0.2">
      <c r="A715" s="8"/>
      <c r="B715" s="9"/>
      <c r="C715" s="8"/>
      <c r="D715" s="9"/>
      <c r="E715" s="9"/>
      <c r="F715" s="9"/>
      <c r="G715" s="9"/>
      <c r="H715" s="8"/>
      <c r="I715" s="9"/>
      <c r="J715" s="9"/>
      <c r="K715" s="9"/>
      <c r="L715" s="9"/>
    </row>
    <row r="716" spans="1:12" ht="15" customHeight="1" x14ac:dyDescent="0.2">
      <c r="A716" s="2"/>
      <c r="B716" s="3"/>
      <c r="C716" s="2"/>
      <c r="D716" s="3"/>
      <c r="E716" s="3"/>
      <c r="F716" s="3"/>
      <c r="G716" s="3"/>
      <c r="H716" s="2"/>
      <c r="I716" s="3"/>
      <c r="J716" s="3"/>
      <c r="K716" s="3"/>
      <c r="L716" s="3"/>
    </row>
    <row r="717" spans="1:12" ht="15" customHeight="1" x14ac:dyDescent="0.2">
      <c r="A717" s="8"/>
      <c r="B717" s="9"/>
      <c r="C717" s="8"/>
      <c r="D717" s="9"/>
      <c r="E717" s="9"/>
      <c r="F717" s="9"/>
      <c r="G717" s="9"/>
      <c r="H717" s="8"/>
      <c r="I717" s="9"/>
      <c r="J717" s="9"/>
      <c r="K717" s="9"/>
      <c r="L717" s="9"/>
    </row>
    <row r="718" spans="1:12" ht="15" customHeight="1" x14ac:dyDescent="0.2">
      <c r="A718" s="2"/>
      <c r="B718" s="3"/>
      <c r="C718" s="2"/>
      <c r="D718" s="3"/>
      <c r="E718" s="3"/>
      <c r="F718" s="3"/>
      <c r="G718" s="3"/>
      <c r="H718" s="2"/>
      <c r="I718" s="3"/>
      <c r="J718" s="3"/>
      <c r="K718" s="3"/>
      <c r="L718" s="3"/>
    </row>
    <row r="719" spans="1:12" ht="15" customHeight="1" x14ac:dyDescent="0.2">
      <c r="A719" s="8"/>
      <c r="B719" s="9"/>
      <c r="C719" s="8"/>
      <c r="D719" s="9"/>
      <c r="E719" s="9"/>
      <c r="F719" s="9"/>
      <c r="G719" s="9"/>
      <c r="H719" s="8"/>
      <c r="I719" s="9"/>
      <c r="J719" s="9"/>
      <c r="K719" s="9"/>
      <c r="L719" s="9"/>
    </row>
    <row r="720" spans="1:12" ht="15" customHeight="1" x14ac:dyDescent="0.2">
      <c r="A720" s="2"/>
      <c r="B720" s="3"/>
      <c r="C720" s="2"/>
      <c r="D720" s="3"/>
      <c r="E720" s="3"/>
      <c r="F720" s="3"/>
      <c r="G720" s="3"/>
      <c r="H720" s="2"/>
      <c r="I720" s="3"/>
      <c r="J720" s="3"/>
      <c r="K720" s="3"/>
      <c r="L720" s="3"/>
    </row>
    <row r="721" spans="1:12" ht="15" customHeight="1" x14ac:dyDescent="0.2">
      <c r="A721" s="8"/>
      <c r="B721" s="9"/>
      <c r="C721" s="8"/>
      <c r="D721" s="9"/>
      <c r="E721" s="9"/>
      <c r="F721" s="9"/>
      <c r="G721" s="9"/>
      <c r="H721" s="8"/>
      <c r="I721" s="9"/>
      <c r="J721" s="9"/>
      <c r="K721" s="9"/>
      <c r="L721" s="9"/>
    </row>
    <row r="722" spans="1:12" ht="15" customHeight="1" x14ac:dyDescent="0.2">
      <c r="A722" s="2"/>
      <c r="B722" s="3"/>
      <c r="C722" s="2"/>
      <c r="D722" s="3"/>
      <c r="E722" s="3"/>
      <c r="F722" s="3"/>
      <c r="G722" s="3"/>
      <c r="H722" s="2"/>
      <c r="I722" s="3"/>
      <c r="J722" s="3"/>
      <c r="K722" s="3"/>
      <c r="L722" s="3"/>
    </row>
    <row r="723" spans="1:12" ht="15" customHeight="1" x14ac:dyDescent="0.2">
      <c r="A723" s="8"/>
      <c r="B723" s="9"/>
      <c r="C723" s="8"/>
      <c r="D723" s="9"/>
      <c r="E723" s="9"/>
      <c r="F723" s="9"/>
      <c r="G723" s="9"/>
      <c r="H723" s="8"/>
      <c r="I723" s="9"/>
      <c r="J723" s="9"/>
      <c r="K723" s="9"/>
      <c r="L723" s="9"/>
    </row>
    <row r="724" spans="1:12" ht="15" customHeight="1" x14ac:dyDescent="0.2">
      <c r="A724" s="2"/>
      <c r="B724" s="3"/>
      <c r="C724" s="2"/>
      <c r="D724" s="3"/>
      <c r="E724" s="3"/>
      <c r="F724" s="3"/>
      <c r="G724" s="3"/>
      <c r="H724" s="2"/>
      <c r="I724" s="3"/>
      <c r="J724" s="3"/>
      <c r="K724" s="3"/>
      <c r="L724" s="3"/>
    </row>
    <row r="725" spans="1:12" ht="15" customHeight="1" x14ac:dyDescent="0.2">
      <c r="A725" s="8"/>
      <c r="B725" s="9"/>
      <c r="C725" s="8"/>
      <c r="D725" s="9"/>
      <c r="E725" s="9"/>
      <c r="F725" s="9"/>
      <c r="G725" s="9"/>
      <c r="H725" s="8"/>
      <c r="I725" s="9"/>
      <c r="J725" s="9"/>
      <c r="K725" s="9"/>
      <c r="L725" s="9"/>
    </row>
    <row r="726" spans="1:12" ht="15" customHeight="1" x14ac:dyDescent="0.2">
      <c r="A726" s="2"/>
      <c r="B726" s="3"/>
      <c r="C726" s="2"/>
      <c r="D726" s="3"/>
      <c r="E726" s="3"/>
      <c r="F726" s="3"/>
      <c r="G726" s="3"/>
      <c r="H726" s="2"/>
      <c r="I726" s="3"/>
      <c r="J726" s="3"/>
      <c r="K726" s="3"/>
      <c r="L726" s="3"/>
    </row>
    <row r="727" spans="1:12" ht="15" customHeight="1" x14ac:dyDescent="0.2">
      <c r="A727" s="8"/>
      <c r="B727" s="9"/>
      <c r="C727" s="8"/>
      <c r="D727" s="9"/>
      <c r="E727" s="9"/>
      <c r="F727" s="9"/>
      <c r="G727" s="9"/>
      <c r="H727" s="8"/>
      <c r="I727" s="9"/>
      <c r="J727" s="9"/>
      <c r="K727" s="9"/>
      <c r="L727" s="9"/>
    </row>
    <row r="728" spans="1:12" ht="15" customHeight="1" x14ac:dyDescent="0.2">
      <c r="A728" s="2"/>
      <c r="B728" s="3"/>
      <c r="C728" s="2"/>
      <c r="D728" s="3"/>
      <c r="E728" s="3"/>
      <c r="F728" s="3"/>
      <c r="G728" s="3"/>
      <c r="H728" s="2"/>
      <c r="I728" s="3"/>
      <c r="J728" s="3"/>
      <c r="K728" s="3"/>
      <c r="L728" s="3"/>
    </row>
    <row r="729" spans="1:12" ht="15" customHeight="1" x14ac:dyDescent="0.2">
      <c r="A729" s="8"/>
      <c r="B729" s="9"/>
      <c r="C729" s="8"/>
      <c r="D729" s="9"/>
      <c r="E729" s="9"/>
      <c r="F729" s="9"/>
      <c r="G729" s="9"/>
      <c r="H729" s="8"/>
      <c r="I729" s="9"/>
      <c r="J729" s="9"/>
      <c r="K729" s="9"/>
      <c r="L729" s="9"/>
    </row>
    <row r="730" spans="1:12" ht="15" customHeight="1" x14ac:dyDescent="0.2">
      <c r="A730" s="2"/>
      <c r="B730" s="3"/>
      <c r="C730" s="2"/>
      <c r="D730" s="3"/>
      <c r="E730" s="3"/>
      <c r="F730" s="3"/>
      <c r="G730" s="3"/>
      <c r="H730" s="2"/>
      <c r="I730" s="3"/>
      <c r="J730" s="3"/>
      <c r="K730" s="3"/>
      <c r="L730" s="3"/>
    </row>
    <row r="731" spans="1:12" ht="15" customHeight="1" x14ac:dyDescent="0.2">
      <c r="A731" s="8"/>
      <c r="B731" s="9"/>
      <c r="C731" s="8"/>
      <c r="D731" s="9"/>
      <c r="E731" s="9"/>
      <c r="F731" s="9"/>
      <c r="G731" s="9"/>
      <c r="H731" s="8"/>
      <c r="I731" s="9"/>
      <c r="J731" s="9"/>
      <c r="K731" s="9"/>
      <c r="L731" s="9"/>
    </row>
    <row r="732" spans="1:12" ht="15" customHeight="1" x14ac:dyDescent="0.2">
      <c r="A732" s="2"/>
      <c r="B732" s="3"/>
      <c r="C732" s="2"/>
      <c r="D732" s="3"/>
      <c r="E732" s="3"/>
      <c r="F732" s="3"/>
      <c r="G732" s="3"/>
      <c r="H732" s="2"/>
      <c r="I732" s="3"/>
      <c r="J732" s="3"/>
      <c r="K732" s="3"/>
      <c r="L732" s="3"/>
    </row>
    <row r="733" spans="1:12" ht="15" customHeight="1" x14ac:dyDescent="0.2">
      <c r="A733" s="8"/>
      <c r="B733" s="9"/>
      <c r="C733" s="8"/>
      <c r="D733" s="9"/>
      <c r="E733" s="9"/>
      <c r="F733" s="9"/>
      <c r="G733" s="9"/>
      <c r="H733" s="8"/>
      <c r="I733" s="9"/>
      <c r="J733" s="9"/>
      <c r="K733" s="9"/>
      <c r="L733" s="9"/>
    </row>
    <row r="734" spans="1:12" ht="15" customHeight="1" x14ac:dyDescent="0.2">
      <c r="A734" s="2"/>
      <c r="B734" s="3"/>
      <c r="C734" s="2"/>
      <c r="D734" s="3"/>
      <c r="E734" s="3"/>
      <c r="F734" s="3"/>
      <c r="G734" s="3"/>
      <c r="H734" s="2"/>
      <c r="I734" s="3"/>
      <c r="J734" s="3"/>
      <c r="K734" s="3"/>
      <c r="L734" s="3"/>
    </row>
    <row r="735" spans="1:12" ht="15" customHeight="1" x14ac:dyDescent="0.2">
      <c r="A735" s="8"/>
      <c r="B735" s="9"/>
      <c r="C735" s="8"/>
      <c r="D735" s="9"/>
      <c r="E735" s="9"/>
      <c r="F735" s="9"/>
      <c r="G735" s="9"/>
      <c r="H735" s="8"/>
      <c r="I735" s="9"/>
      <c r="J735" s="9"/>
      <c r="K735" s="9"/>
      <c r="L735" s="9"/>
    </row>
    <row r="736" spans="1:12" ht="15" customHeight="1" x14ac:dyDescent="0.2">
      <c r="A736" s="2"/>
      <c r="B736" s="3"/>
      <c r="C736" s="2"/>
      <c r="D736" s="3"/>
      <c r="E736" s="3"/>
      <c r="F736" s="3"/>
      <c r="G736" s="3"/>
      <c r="H736" s="2"/>
      <c r="I736" s="3"/>
      <c r="J736" s="3"/>
      <c r="K736" s="3"/>
      <c r="L736" s="3"/>
    </row>
    <row r="737" spans="1:12" ht="15" customHeight="1" x14ac:dyDescent="0.2">
      <c r="A737" s="8"/>
      <c r="B737" s="9"/>
      <c r="C737" s="8"/>
      <c r="D737" s="9"/>
      <c r="E737" s="9"/>
      <c r="F737" s="9"/>
      <c r="G737" s="9"/>
      <c r="H737" s="8"/>
      <c r="I737" s="9"/>
      <c r="J737" s="9"/>
      <c r="K737" s="9"/>
      <c r="L737" s="9"/>
    </row>
    <row r="738" spans="1:12" ht="15" customHeight="1" x14ac:dyDescent="0.2">
      <c r="A738" s="2"/>
      <c r="B738" s="3"/>
      <c r="C738" s="2"/>
      <c r="D738" s="3"/>
      <c r="E738" s="3"/>
      <c r="F738" s="3"/>
      <c r="G738" s="3"/>
      <c r="H738" s="2"/>
      <c r="I738" s="3"/>
      <c r="J738" s="3"/>
      <c r="K738" s="3"/>
      <c r="L738" s="3"/>
    </row>
    <row r="739" spans="1:12" ht="15" customHeight="1" x14ac:dyDescent="0.2">
      <c r="A739" s="8"/>
      <c r="B739" s="9"/>
      <c r="C739" s="8"/>
      <c r="D739" s="9"/>
      <c r="E739" s="9"/>
      <c r="F739" s="9"/>
      <c r="G739" s="9"/>
      <c r="H739" s="8"/>
      <c r="I739" s="9"/>
      <c r="J739" s="9"/>
      <c r="K739" s="9"/>
      <c r="L739" s="9"/>
    </row>
    <row r="740" spans="1:12" ht="15" customHeight="1" x14ac:dyDescent="0.2">
      <c r="A740" s="2"/>
      <c r="B740" s="3"/>
      <c r="C740" s="2"/>
      <c r="D740" s="3"/>
      <c r="E740" s="3"/>
      <c r="F740" s="3"/>
      <c r="G740" s="3"/>
      <c r="H740" s="2"/>
      <c r="I740" s="3"/>
      <c r="J740" s="3"/>
      <c r="K740" s="3"/>
      <c r="L740" s="3"/>
    </row>
    <row r="741" spans="1:12" ht="15" customHeight="1" x14ac:dyDescent="0.2">
      <c r="A741" s="8"/>
      <c r="B741" s="9"/>
      <c r="C741" s="8"/>
      <c r="D741" s="9"/>
      <c r="E741" s="9"/>
      <c r="F741" s="9"/>
      <c r="G741" s="9"/>
      <c r="H741" s="8"/>
      <c r="I741" s="9"/>
      <c r="J741" s="9"/>
      <c r="K741" s="9"/>
      <c r="L741" s="9"/>
    </row>
    <row r="742" spans="1:12" ht="15" customHeight="1" x14ac:dyDescent="0.2">
      <c r="A742" s="2"/>
      <c r="B742" s="3"/>
      <c r="C742" s="2"/>
      <c r="D742" s="3"/>
      <c r="E742" s="3"/>
      <c r="F742" s="3"/>
      <c r="G742" s="3"/>
      <c r="H742" s="2"/>
      <c r="I742" s="3"/>
      <c r="J742" s="3"/>
      <c r="K742" s="3"/>
      <c r="L742" s="3"/>
    </row>
    <row r="743" spans="1:12" ht="15" customHeight="1" x14ac:dyDescent="0.2">
      <c r="A743" s="8"/>
      <c r="B743" s="9"/>
      <c r="C743" s="8"/>
      <c r="D743" s="9"/>
      <c r="E743" s="9"/>
      <c r="F743" s="9"/>
      <c r="G743" s="9"/>
      <c r="H743" s="8"/>
      <c r="I743" s="9"/>
      <c r="J743" s="9"/>
      <c r="K743" s="9"/>
      <c r="L743" s="9"/>
    </row>
    <row r="744" spans="1:12" ht="15" customHeight="1" x14ac:dyDescent="0.2">
      <c r="A744" s="2"/>
      <c r="B744" s="3"/>
      <c r="C744" s="2"/>
      <c r="D744" s="3"/>
      <c r="E744" s="3"/>
      <c r="F744" s="3"/>
      <c r="G744" s="3"/>
      <c r="H744" s="2"/>
      <c r="I744" s="3"/>
      <c r="J744" s="3"/>
      <c r="K744" s="3"/>
      <c r="L744" s="3"/>
    </row>
    <row r="745" spans="1:12" ht="15" customHeight="1" x14ac:dyDescent="0.2">
      <c r="A745" s="8"/>
      <c r="B745" s="9"/>
      <c r="C745" s="8"/>
      <c r="D745" s="9"/>
      <c r="E745" s="9"/>
      <c r="F745" s="9"/>
      <c r="G745" s="9"/>
      <c r="H745" s="8"/>
      <c r="I745" s="9"/>
      <c r="J745" s="9"/>
      <c r="K745" s="9"/>
      <c r="L745" s="9"/>
    </row>
    <row r="746" spans="1:12" ht="15" customHeight="1" x14ac:dyDescent="0.2">
      <c r="A746" s="2"/>
      <c r="B746" s="3"/>
      <c r="C746" s="2"/>
      <c r="D746" s="3"/>
      <c r="E746" s="3"/>
      <c r="F746" s="3"/>
      <c r="G746" s="3"/>
      <c r="H746" s="2"/>
      <c r="I746" s="3"/>
      <c r="J746" s="3"/>
      <c r="K746" s="3"/>
      <c r="L746" s="3"/>
    </row>
    <row r="747" spans="1:12" ht="15" customHeight="1" x14ac:dyDescent="0.2">
      <c r="A747" s="8"/>
      <c r="B747" s="9"/>
      <c r="C747" s="8"/>
      <c r="D747" s="9"/>
      <c r="E747" s="9"/>
      <c r="F747" s="9"/>
      <c r="G747" s="9"/>
      <c r="H747" s="8"/>
      <c r="I747" s="9"/>
      <c r="J747" s="9"/>
      <c r="K747" s="9"/>
      <c r="L747" s="9"/>
    </row>
    <row r="748" spans="1:12" ht="15" customHeight="1" x14ac:dyDescent="0.2">
      <c r="A748" s="2"/>
      <c r="B748" s="3"/>
      <c r="C748" s="2"/>
      <c r="D748" s="3"/>
      <c r="E748" s="3"/>
      <c r="F748" s="3"/>
      <c r="G748" s="3"/>
      <c r="H748" s="2"/>
      <c r="I748" s="3"/>
      <c r="J748" s="3"/>
      <c r="K748" s="3"/>
      <c r="L748" s="3"/>
    </row>
    <row r="749" spans="1:12" ht="15" customHeight="1" x14ac:dyDescent="0.2">
      <c r="A749" s="8"/>
      <c r="B749" s="9"/>
      <c r="C749" s="8"/>
      <c r="D749" s="9"/>
      <c r="E749" s="9"/>
      <c r="F749" s="9"/>
      <c r="G749" s="9"/>
      <c r="H749" s="8"/>
      <c r="I749" s="9"/>
      <c r="J749" s="9"/>
      <c r="K749" s="9"/>
      <c r="L749" s="9"/>
    </row>
    <row r="750" spans="1:12" ht="15" customHeight="1" x14ac:dyDescent="0.2">
      <c r="A750" s="2"/>
      <c r="B750" s="3"/>
      <c r="C750" s="2"/>
      <c r="D750" s="3"/>
      <c r="E750" s="3"/>
      <c r="F750" s="3"/>
      <c r="G750" s="3"/>
      <c r="H750" s="2"/>
      <c r="I750" s="3"/>
      <c r="J750" s="3"/>
      <c r="K750" s="3"/>
      <c r="L750" s="3"/>
    </row>
    <row r="751" spans="1:12" ht="15" customHeight="1" x14ac:dyDescent="0.2">
      <c r="A751" s="8"/>
      <c r="B751" s="9"/>
      <c r="C751" s="8"/>
      <c r="D751" s="9"/>
      <c r="E751" s="9"/>
      <c r="F751" s="9"/>
      <c r="G751" s="9"/>
      <c r="H751" s="8"/>
      <c r="I751" s="9"/>
      <c r="J751" s="9"/>
      <c r="K751" s="9"/>
      <c r="L751" s="9"/>
    </row>
    <row r="752" spans="1:12" ht="15" customHeight="1" x14ac:dyDescent="0.2">
      <c r="A752" s="2"/>
      <c r="B752" s="3"/>
      <c r="C752" s="2"/>
      <c r="D752" s="3"/>
      <c r="E752" s="3"/>
      <c r="F752" s="3"/>
      <c r="G752" s="3"/>
      <c r="H752" s="2"/>
      <c r="I752" s="3"/>
      <c r="J752" s="3"/>
      <c r="K752" s="3"/>
      <c r="L752" s="3"/>
    </row>
    <row r="753" spans="1:12" ht="15" customHeight="1" x14ac:dyDescent="0.2">
      <c r="A753" s="8"/>
      <c r="B753" s="9"/>
      <c r="C753" s="8"/>
      <c r="D753" s="9"/>
      <c r="E753" s="9"/>
      <c r="F753" s="9"/>
      <c r="G753" s="9"/>
      <c r="H753" s="8"/>
      <c r="I753" s="9"/>
      <c r="J753" s="9"/>
      <c r="K753" s="9"/>
      <c r="L753" s="9"/>
    </row>
    <row r="754" spans="1:12" ht="15" customHeight="1" x14ac:dyDescent="0.2">
      <c r="A754" s="2"/>
      <c r="B754" s="3"/>
      <c r="C754" s="2"/>
      <c r="D754" s="3"/>
      <c r="E754" s="3"/>
      <c r="F754" s="3"/>
      <c r="G754" s="3"/>
      <c r="H754" s="2"/>
      <c r="I754" s="3"/>
      <c r="J754" s="3"/>
      <c r="K754" s="3"/>
      <c r="L754" s="3"/>
    </row>
    <row r="755" spans="1:12" ht="15" customHeight="1" x14ac:dyDescent="0.2">
      <c r="A755" s="8"/>
      <c r="B755" s="9"/>
      <c r="C755" s="8"/>
      <c r="D755" s="9"/>
      <c r="E755" s="9"/>
      <c r="F755" s="9"/>
      <c r="G755" s="9"/>
      <c r="H755" s="8"/>
      <c r="I755" s="9"/>
      <c r="J755" s="9"/>
      <c r="K755" s="9"/>
      <c r="L755" s="9"/>
    </row>
    <row r="756" spans="1:12" ht="15" customHeight="1" x14ac:dyDescent="0.2">
      <c r="A756" s="2"/>
      <c r="B756" s="3"/>
      <c r="C756" s="2"/>
      <c r="D756" s="3"/>
      <c r="E756" s="3"/>
      <c r="F756" s="3"/>
      <c r="G756" s="3"/>
      <c r="H756" s="2"/>
      <c r="I756" s="3"/>
      <c r="J756" s="3"/>
      <c r="K756" s="3"/>
      <c r="L756" s="3"/>
    </row>
    <row r="757" spans="1:12" ht="15" customHeight="1" x14ac:dyDescent="0.2">
      <c r="A757" s="8"/>
      <c r="B757" s="9"/>
      <c r="C757" s="8"/>
      <c r="D757" s="9"/>
      <c r="E757" s="9"/>
      <c r="F757" s="9"/>
      <c r="G757" s="9"/>
      <c r="H757" s="8"/>
      <c r="I757" s="9"/>
      <c r="J757" s="9"/>
      <c r="K757" s="9"/>
      <c r="L757" s="9"/>
    </row>
    <row r="758" spans="1:12" ht="15" customHeight="1" x14ac:dyDescent="0.2">
      <c r="A758" s="2"/>
      <c r="B758" s="3"/>
      <c r="C758" s="2"/>
      <c r="D758" s="3"/>
      <c r="E758" s="3"/>
      <c r="F758" s="3"/>
      <c r="G758" s="3"/>
      <c r="H758" s="2"/>
      <c r="I758" s="3"/>
      <c r="J758" s="3"/>
      <c r="K758" s="3"/>
      <c r="L758" s="3"/>
    </row>
    <row r="759" spans="1:12" ht="15" customHeight="1" x14ac:dyDescent="0.2">
      <c r="A759" s="8"/>
      <c r="B759" s="9"/>
      <c r="C759" s="8"/>
      <c r="D759" s="9"/>
      <c r="E759" s="9"/>
      <c r="F759" s="9"/>
      <c r="G759" s="9"/>
      <c r="H759" s="8"/>
      <c r="I759" s="9"/>
      <c r="J759" s="9"/>
      <c r="K759" s="9"/>
      <c r="L759" s="9"/>
    </row>
    <row r="760" spans="1:12" ht="15" customHeight="1" x14ac:dyDescent="0.2">
      <c r="A760" s="2"/>
      <c r="B760" s="3"/>
      <c r="C760" s="2"/>
      <c r="D760" s="3"/>
      <c r="E760" s="3"/>
      <c r="F760" s="3"/>
      <c r="G760" s="3"/>
      <c r="H760" s="2"/>
      <c r="I760" s="3"/>
      <c r="J760" s="3"/>
      <c r="K760" s="3"/>
      <c r="L760" s="3"/>
    </row>
    <row r="761" spans="1:12" ht="15" customHeight="1" x14ac:dyDescent="0.2">
      <c r="A761" s="8"/>
      <c r="B761" s="9"/>
      <c r="C761" s="8"/>
      <c r="D761" s="9"/>
      <c r="E761" s="9"/>
      <c r="F761" s="9"/>
      <c r="G761" s="9"/>
      <c r="H761" s="8"/>
      <c r="I761" s="9"/>
      <c r="J761" s="9"/>
      <c r="K761" s="9"/>
      <c r="L761" s="9"/>
    </row>
    <row r="762" spans="1:12" ht="15" customHeight="1" x14ac:dyDescent="0.2">
      <c r="A762" s="2"/>
      <c r="B762" s="3"/>
      <c r="C762" s="2"/>
      <c r="D762" s="3"/>
      <c r="E762" s="3"/>
      <c r="F762" s="3"/>
      <c r="G762" s="3"/>
      <c r="H762" s="2"/>
      <c r="I762" s="3"/>
      <c r="J762" s="3"/>
      <c r="K762" s="3"/>
      <c r="L762" s="3"/>
    </row>
    <row r="763" spans="1:12" ht="15" customHeight="1" x14ac:dyDescent="0.2">
      <c r="A763" s="8"/>
      <c r="B763" s="9"/>
      <c r="C763" s="8"/>
      <c r="D763" s="9"/>
      <c r="E763" s="9"/>
      <c r="F763" s="9"/>
      <c r="G763" s="9"/>
      <c r="H763" s="8"/>
      <c r="I763" s="9"/>
      <c r="J763" s="9"/>
      <c r="K763" s="9"/>
      <c r="L763" s="9"/>
    </row>
    <row r="764" spans="1:12" ht="15" customHeight="1" x14ac:dyDescent="0.2">
      <c r="A764" s="2"/>
      <c r="B764" s="3"/>
      <c r="C764" s="2"/>
      <c r="D764" s="3"/>
      <c r="E764" s="3"/>
      <c r="F764" s="3"/>
      <c r="G764" s="3"/>
      <c r="H764" s="2"/>
      <c r="I764" s="3"/>
      <c r="J764" s="3"/>
      <c r="K764" s="3"/>
      <c r="L764" s="3"/>
    </row>
    <row r="765" spans="1:12" ht="15" customHeight="1" x14ac:dyDescent="0.2">
      <c r="A765" s="8"/>
      <c r="B765" s="9"/>
      <c r="C765" s="8"/>
      <c r="D765" s="9"/>
      <c r="E765" s="9"/>
      <c r="F765" s="9"/>
      <c r="G765" s="9"/>
      <c r="H765" s="8"/>
      <c r="I765" s="9"/>
      <c r="J765" s="9"/>
      <c r="K765" s="9"/>
      <c r="L765" s="9"/>
    </row>
    <row r="766" spans="1:12" ht="15" customHeight="1" x14ac:dyDescent="0.2">
      <c r="A766" s="2"/>
      <c r="B766" s="3"/>
      <c r="C766" s="2"/>
      <c r="D766" s="3"/>
      <c r="E766" s="3"/>
      <c r="F766" s="3"/>
      <c r="G766" s="3"/>
      <c r="H766" s="2"/>
      <c r="I766" s="3"/>
      <c r="J766" s="3"/>
      <c r="K766" s="3"/>
      <c r="L766" s="3"/>
    </row>
    <row r="767" spans="1:12" ht="15" customHeight="1" x14ac:dyDescent="0.2">
      <c r="A767" s="8"/>
      <c r="B767" s="9"/>
      <c r="C767" s="8"/>
      <c r="D767" s="9"/>
      <c r="E767" s="9"/>
      <c r="F767" s="9"/>
      <c r="G767" s="9"/>
      <c r="H767" s="8"/>
      <c r="I767" s="9"/>
      <c r="J767" s="9"/>
      <c r="K767" s="9"/>
      <c r="L767" s="9"/>
    </row>
    <row r="768" spans="1:12" ht="15" customHeight="1" x14ac:dyDescent="0.2">
      <c r="A768" s="2"/>
      <c r="B768" s="3"/>
      <c r="C768" s="2"/>
      <c r="D768" s="3"/>
      <c r="E768" s="3"/>
      <c r="F768" s="3"/>
      <c r="G768" s="3"/>
      <c r="H768" s="2"/>
      <c r="I768" s="3"/>
      <c r="J768" s="3"/>
      <c r="K768" s="3"/>
      <c r="L768" s="3"/>
    </row>
    <row r="769" spans="1:12" ht="15" customHeight="1" x14ac:dyDescent="0.2">
      <c r="A769" s="8"/>
      <c r="B769" s="9"/>
      <c r="C769" s="8"/>
      <c r="D769" s="9"/>
      <c r="E769" s="9"/>
      <c r="F769" s="9"/>
      <c r="G769" s="9"/>
      <c r="H769" s="8"/>
      <c r="I769" s="9"/>
      <c r="J769" s="9"/>
      <c r="K769" s="9"/>
      <c r="L769" s="9"/>
    </row>
    <row r="770" spans="1:12" ht="15" customHeight="1" x14ac:dyDescent="0.2">
      <c r="A770" s="2"/>
      <c r="B770" s="3"/>
      <c r="C770" s="2"/>
      <c r="D770" s="3"/>
      <c r="E770" s="3"/>
      <c r="F770" s="3"/>
      <c r="G770" s="3"/>
      <c r="H770" s="2"/>
      <c r="I770" s="3"/>
      <c r="J770" s="3"/>
      <c r="K770" s="3"/>
      <c r="L770" s="3"/>
    </row>
    <row r="771" spans="1:12" ht="15" customHeight="1" x14ac:dyDescent="0.2">
      <c r="A771" s="8"/>
      <c r="B771" s="9"/>
      <c r="C771" s="8"/>
      <c r="D771" s="9"/>
      <c r="E771" s="9"/>
      <c r="F771" s="9"/>
      <c r="G771" s="9"/>
      <c r="H771" s="8"/>
      <c r="I771" s="9"/>
      <c r="J771" s="9"/>
      <c r="K771" s="9"/>
      <c r="L771" s="9"/>
    </row>
    <row r="772" spans="1:12" ht="15" customHeight="1" x14ac:dyDescent="0.2">
      <c r="A772" s="2"/>
      <c r="B772" s="3"/>
      <c r="C772" s="2"/>
      <c r="D772" s="3"/>
      <c r="E772" s="3"/>
      <c r="F772" s="3"/>
      <c r="G772" s="3"/>
      <c r="H772" s="2"/>
      <c r="I772" s="3"/>
      <c r="J772" s="3"/>
      <c r="K772" s="3"/>
      <c r="L772" s="3"/>
    </row>
    <row r="773" spans="1:12" ht="15" customHeight="1" x14ac:dyDescent="0.2">
      <c r="A773" s="8"/>
      <c r="B773" s="9"/>
      <c r="C773" s="8"/>
      <c r="D773" s="9"/>
      <c r="E773" s="9"/>
      <c r="F773" s="9"/>
      <c r="G773" s="9"/>
      <c r="H773" s="8"/>
      <c r="I773" s="9"/>
      <c r="J773" s="9"/>
      <c r="K773" s="9"/>
      <c r="L773" s="9"/>
    </row>
    <row r="774" spans="1:12" ht="15" customHeight="1" x14ac:dyDescent="0.2">
      <c r="A774" s="2"/>
      <c r="B774" s="3"/>
      <c r="C774" s="2"/>
      <c r="D774" s="3"/>
      <c r="E774" s="3"/>
      <c r="F774" s="3"/>
      <c r="G774" s="3"/>
      <c r="H774" s="2"/>
      <c r="I774" s="3"/>
      <c r="J774" s="3"/>
      <c r="K774" s="3"/>
      <c r="L774" s="3"/>
    </row>
    <row r="775" spans="1:12" ht="15" customHeight="1" x14ac:dyDescent="0.2">
      <c r="A775" s="8"/>
      <c r="B775" s="9"/>
      <c r="C775" s="8"/>
      <c r="D775" s="9"/>
      <c r="E775" s="9"/>
      <c r="F775" s="9"/>
      <c r="G775" s="9"/>
      <c r="H775" s="8"/>
      <c r="I775" s="9"/>
      <c r="J775" s="9"/>
      <c r="K775" s="9"/>
      <c r="L775" s="9"/>
    </row>
    <row r="776" spans="1:12" ht="15" customHeight="1" x14ac:dyDescent="0.2">
      <c r="A776" s="2"/>
      <c r="B776" s="3"/>
      <c r="C776" s="2"/>
      <c r="D776" s="3"/>
      <c r="E776" s="3"/>
      <c r="F776" s="3"/>
      <c r="G776" s="3"/>
      <c r="H776" s="2"/>
      <c r="I776" s="3"/>
      <c r="J776" s="3"/>
      <c r="K776" s="3"/>
      <c r="L776" s="3"/>
    </row>
    <row r="777" spans="1:12" ht="15" customHeight="1" x14ac:dyDescent="0.2">
      <c r="A777" s="8"/>
      <c r="B777" s="9"/>
      <c r="C777" s="8"/>
      <c r="D777" s="9"/>
      <c r="E777" s="9"/>
      <c r="F777" s="9"/>
      <c r="G777" s="9"/>
      <c r="H777" s="8"/>
      <c r="I777" s="9"/>
      <c r="J777" s="9"/>
      <c r="K777" s="9"/>
      <c r="L777" s="9"/>
    </row>
    <row r="778" spans="1:12" ht="15" customHeight="1" x14ac:dyDescent="0.2">
      <c r="A778" s="2"/>
      <c r="B778" s="3"/>
      <c r="C778" s="2"/>
      <c r="D778" s="3"/>
      <c r="E778" s="3"/>
      <c r="F778" s="3"/>
      <c r="G778" s="3"/>
      <c r="H778" s="2"/>
      <c r="I778" s="3"/>
      <c r="J778" s="3"/>
      <c r="K778" s="3"/>
      <c r="L778" s="3"/>
    </row>
    <row r="779" spans="1:12" ht="15" customHeight="1" x14ac:dyDescent="0.2">
      <c r="A779" s="8"/>
      <c r="B779" s="9"/>
      <c r="C779" s="8"/>
      <c r="D779" s="9"/>
      <c r="E779" s="9"/>
      <c r="F779" s="9"/>
      <c r="G779" s="9"/>
      <c r="H779" s="8"/>
      <c r="I779" s="9"/>
      <c r="J779" s="9"/>
      <c r="K779" s="9"/>
      <c r="L779" s="9"/>
    </row>
    <row r="780" spans="1:12" ht="15" customHeight="1" x14ac:dyDescent="0.2">
      <c r="A780" s="2"/>
      <c r="B780" s="3"/>
      <c r="C780" s="2"/>
      <c r="D780" s="3"/>
      <c r="E780" s="3"/>
      <c r="F780" s="3"/>
      <c r="G780" s="3"/>
      <c r="H780" s="2"/>
      <c r="I780" s="3"/>
      <c r="J780" s="3"/>
      <c r="K780" s="3"/>
      <c r="L780" s="3"/>
    </row>
    <row r="781" spans="1:12" ht="15" customHeight="1" x14ac:dyDescent="0.2">
      <c r="A781" s="8"/>
      <c r="B781" s="9"/>
      <c r="C781" s="8"/>
      <c r="D781" s="9"/>
      <c r="E781" s="9"/>
      <c r="F781" s="9"/>
      <c r="G781" s="9"/>
      <c r="H781" s="8"/>
      <c r="I781" s="9"/>
      <c r="J781" s="9"/>
      <c r="K781" s="9"/>
      <c r="L781" s="9"/>
    </row>
    <row r="782" spans="1:12" ht="15" customHeight="1" x14ac:dyDescent="0.2">
      <c r="A782" s="2"/>
      <c r="B782" s="3"/>
      <c r="C782" s="2"/>
      <c r="D782" s="3"/>
      <c r="E782" s="3"/>
      <c r="F782" s="3"/>
      <c r="G782" s="3"/>
      <c r="H782" s="2"/>
      <c r="I782" s="3"/>
      <c r="J782" s="3"/>
      <c r="K782" s="3"/>
      <c r="L782" s="3"/>
    </row>
    <row r="783" spans="1:12" ht="15" customHeight="1" x14ac:dyDescent="0.2">
      <c r="A783" s="8"/>
      <c r="B783" s="9"/>
      <c r="C783" s="8"/>
      <c r="D783" s="9"/>
      <c r="E783" s="9"/>
      <c r="F783" s="9"/>
      <c r="G783" s="9"/>
      <c r="H783" s="8"/>
      <c r="I783" s="9"/>
      <c r="J783" s="9"/>
      <c r="K783" s="9"/>
      <c r="L783" s="9"/>
    </row>
    <row r="784" spans="1:12" ht="15" customHeight="1" x14ac:dyDescent="0.2">
      <c r="A784" s="2"/>
      <c r="B784" s="3"/>
      <c r="C784" s="2"/>
      <c r="D784" s="3"/>
      <c r="E784" s="3"/>
      <c r="F784" s="3"/>
      <c r="G784" s="3"/>
      <c r="H784" s="2"/>
      <c r="I784" s="3"/>
      <c r="J784" s="3"/>
      <c r="K784" s="3"/>
      <c r="L784" s="3"/>
    </row>
    <row r="785" spans="1:12" ht="15" customHeight="1" x14ac:dyDescent="0.2">
      <c r="A785" s="8"/>
      <c r="B785" s="9"/>
      <c r="C785" s="8"/>
      <c r="D785" s="9"/>
      <c r="E785" s="9"/>
      <c r="F785" s="9"/>
      <c r="G785" s="9"/>
      <c r="H785" s="8"/>
      <c r="I785" s="9"/>
      <c r="J785" s="9"/>
      <c r="K785" s="9"/>
      <c r="L785" s="9"/>
    </row>
    <row r="786" spans="1:12" ht="15" customHeight="1" x14ac:dyDescent="0.2">
      <c r="A786" s="2"/>
      <c r="B786" s="3"/>
      <c r="C786" s="2"/>
      <c r="D786" s="3"/>
      <c r="E786" s="3"/>
      <c r="F786" s="3"/>
      <c r="G786" s="3"/>
      <c r="H786" s="2"/>
      <c r="I786" s="3"/>
      <c r="J786" s="3"/>
      <c r="K786" s="3"/>
      <c r="L786" s="3"/>
    </row>
    <row r="787" spans="1:12" ht="15" customHeight="1" x14ac:dyDescent="0.2">
      <c r="A787" s="8"/>
      <c r="B787" s="9"/>
      <c r="C787" s="8"/>
      <c r="D787" s="9"/>
      <c r="E787" s="9"/>
      <c r="F787" s="9"/>
      <c r="G787" s="9"/>
      <c r="H787" s="8"/>
      <c r="I787" s="9"/>
      <c r="J787" s="9"/>
      <c r="K787" s="9"/>
      <c r="L787" s="9"/>
    </row>
    <row r="788" spans="1:12" ht="15" customHeight="1" x14ac:dyDescent="0.2">
      <c r="A788" s="2"/>
      <c r="B788" s="3"/>
      <c r="C788" s="2"/>
      <c r="D788" s="3"/>
      <c r="E788" s="3"/>
      <c r="F788" s="3"/>
      <c r="G788" s="3"/>
      <c r="H788" s="2"/>
      <c r="I788" s="3"/>
      <c r="J788" s="3"/>
      <c r="K788" s="3"/>
      <c r="L788" s="3"/>
    </row>
    <row r="789" spans="1:12" ht="15" customHeight="1" x14ac:dyDescent="0.2">
      <c r="A789" s="8"/>
      <c r="B789" s="9"/>
      <c r="C789" s="8"/>
      <c r="D789" s="9"/>
      <c r="E789" s="9"/>
      <c r="F789" s="9"/>
      <c r="G789" s="9"/>
      <c r="H789" s="8"/>
      <c r="I789" s="9"/>
      <c r="J789" s="9"/>
      <c r="K789" s="9"/>
      <c r="L789" s="9"/>
    </row>
    <row r="790" spans="1:12" ht="15" customHeight="1" x14ac:dyDescent="0.2">
      <c r="A790" s="2"/>
      <c r="B790" s="3"/>
      <c r="C790" s="2"/>
      <c r="D790" s="3"/>
      <c r="E790" s="3"/>
      <c r="F790" s="3"/>
      <c r="G790" s="3"/>
      <c r="H790" s="2"/>
      <c r="I790" s="3"/>
      <c r="J790" s="3"/>
      <c r="K790" s="3"/>
      <c r="L790" s="3"/>
    </row>
    <row r="791" spans="1:12" ht="15" customHeight="1" x14ac:dyDescent="0.2">
      <c r="A791" s="8"/>
      <c r="B791" s="9"/>
      <c r="C791" s="8"/>
      <c r="D791" s="9"/>
      <c r="E791" s="9"/>
      <c r="F791" s="9"/>
      <c r="G791" s="9"/>
      <c r="H791" s="8"/>
      <c r="I791" s="9"/>
      <c r="J791" s="9"/>
      <c r="K791" s="9"/>
      <c r="L791" s="9"/>
    </row>
    <row r="792" spans="1:12" ht="15" customHeight="1" x14ac:dyDescent="0.2">
      <c r="A792" s="2"/>
      <c r="B792" s="3"/>
      <c r="C792" s="2"/>
      <c r="D792" s="3"/>
      <c r="E792" s="3"/>
      <c r="F792" s="3"/>
      <c r="G792" s="3"/>
      <c r="H792" s="2"/>
      <c r="I792" s="3"/>
      <c r="J792" s="3"/>
      <c r="K792" s="3"/>
      <c r="L792" s="3"/>
    </row>
    <row r="793" spans="1:12" ht="15" customHeight="1" x14ac:dyDescent="0.2">
      <c r="A793" s="8"/>
      <c r="B793" s="9"/>
      <c r="C793" s="8"/>
      <c r="D793" s="9"/>
      <c r="E793" s="9"/>
      <c r="F793" s="9"/>
      <c r="G793" s="9"/>
      <c r="H793" s="8"/>
      <c r="I793" s="9"/>
      <c r="J793" s="9"/>
      <c r="K793" s="9"/>
      <c r="L793" s="9"/>
    </row>
    <row r="794" spans="1:12" ht="15" customHeight="1" x14ac:dyDescent="0.2">
      <c r="A794" s="2"/>
      <c r="B794" s="3"/>
      <c r="C794" s="2"/>
      <c r="D794" s="3"/>
      <c r="E794" s="3"/>
      <c r="F794" s="3"/>
      <c r="G794" s="3"/>
      <c r="H794" s="2"/>
      <c r="I794" s="3"/>
      <c r="J794" s="3"/>
      <c r="K794" s="3"/>
      <c r="L794" s="3"/>
    </row>
    <row r="795" spans="1:12" ht="15" customHeight="1" x14ac:dyDescent="0.2">
      <c r="A795" s="8"/>
      <c r="B795" s="9"/>
      <c r="C795" s="8"/>
      <c r="D795" s="9"/>
      <c r="E795" s="9"/>
      <c r="F795" s="9"/>
      <c r="G795" s="9"/>
      <c r="H795" s="8"/>
      <c r="I795" s="9"/>
      <c r="J795" s="9"/>
      <c r="K795" s="9"/>
      <c r="L795" s="9"/>
    </row>
    <row r="796" spans="1:12" ht="15" customHeight="1" x14ac:dyDescent="0.2">
      <c r="A796" s="2"/>
      <c r="B796" s="3"/>
      <c r="C796" s="2"/>
      <c r="D796" s="3"/>
      <c r="E796" s="3"/>
      <c r="F796" s="3"/>
      <c r="G796" s="3"/>
      <c r="H796" s="2"/>
      <c r="I796" s="3"/>
      <c r="J796" s="3"/>
      <c r="K796" s="3"/>
      <c r="L796" s="3"/>
    </row>
    <row r="797" spans="1:12" ht="15" customHeight="1" x14ac:dyDescent="0.2">
      <c r="A797" s="8"/>
      <c r="B797" s="9"/>
      <c r="C797" s="8"/>
      <c r="D797" s="9"/>
      <c r="E797" s="9"/>
      <c r="F797" s="9"/>
      <c r="G797" s="9"/>
      <c r="H797" s="8"/>
      <c r="I797" s="9"/>
      <c r="J797" s="9"/>
      <c r="K797" s="9"/>
      <c r="L797" s="9"/>
    </row>
    <row r="798" spans="1:12" ht="15" customHeight="1" x14ac:dyDescent="0.2">
      <c r="A798" s="2"/>
      <c r="B798" s="3"/>
      <c r="C798" s="2"/>
      <c r="D798" s="3"/>
      <c r="E798" s="3"/>
      <c r="F798" s="3"/>
      <c r="G798" s="3"/>
      <c r="H798" s="2"/>
      <c r="I798" s="3"/>
      <c r="J798" s="3"/>
      <c r="K798" s="3"/>
      <c r="L798" s="3"/>
    </row>
    <row r="799" spans="1:12" ht="15" customHeight="1" x14ac:dyDescent="0.2">
      <c r="A799" s="8"/>
      <c r="B799" s="9"/>
      <c r="C799" s="8"/>
      <c r="D799" s="9"/>
      <c r="E799" s="9"/>
      <c r="F799" s="9"/>
      <c r="G799" s="9"/>
      <c r="H799" s="8"/>
      <c r="I799" s="9"/>
      <c r="J799" s="9"/>
      <c r="K799" s="9"/>
      <c r="L799" s="9"/>
    </row>
    <row r="800" spans="1:12" ht="15" customHeight="1" x14ac:dyDescent="0.2">
      <c r="A800" s="2"/>
      <c r="B800" s="3"/>
      <c r="C800" s="2"/>
      <c r="D800" s="3"/>
      <c r="E800" s="3"/>
      <c r="F800" s="3"/>
      <c r="G800" s="3"/>
      <c r="H800" s="2"/>
      <c r="I800" s="3"/>
      <c r="J800" s="3"/>
      <c r="K800" s="3"/>
      <c r="L800" s="3"/>
    </row>
    <row r="801" spans="1:12" ht="15" customHeight="1" x14ac:dyDescent="0.2">
      <c r="A801" s="8"/>
      <c r="B801" s="9"/>
      <c r="C801" s="8"/>
      <c r="D801" s="9"/>
      <c r="E801" s="9"/>
      <c r="F801" s="9"/>
      <c r="G801" s="9"/>
      <c r="H801" s="8"/>
      <c r="I801" s="9"/>
      <c r="J801" s="9"/>
      <c r="K801" s="9"/>
      <c r="L801" s="9"/>
    </row>
    <row r="802" spans="1:12" ht="15" customHeight="1" x14ac:dyDescent="0.2">
      <c r="A802" s="2"/>
      <c r="B802" s="3"/>
      <c r="C802" s="2"/>
      <c r="D802" s="3"/>
      <c r="E802" s="3"/>
      <c r="F802" s="3"/>
      <c r="G802" s="3"/>
      <c r="H802" s="2"/>
      <c r="I802" s="3"/>
      <c r="J802" s="3"/>
      <c r="K802" s="3"/>
      <c r="L802" s="3"/>
    </row>
    <row r="803" spans="1:12" ht="15" customHeight="1" x14ac:dyDescent="0.2">
      <c r="A803" s="8"/>
      <c r="B803" s="9"/>
      <c r="C803" s="8"/>
      <c r="D803" s="9"/>
      <c r="E803" s="9"/>
      <c r="F803" s="9"/>
      <c r="G803" s="9"/>
      <c r="H803" s="8"/>
      <c r="I803" s="9"/>
      <c r="J803" s="9"/>
      <c r="K803" s="9"/>
      <c r="L803" s="9"/>
    </row>
    <row r="804" spans="1:12" ht="15" customHeight="1" x14ac:dyDescent="0.2">
      <c r="A804" s="2"/>
      <c r="B804" s="3"/>
      <c r="C804" s="2"/>
      <c r="D804" s="3"/>
      <c r="E804" s="3"/>
      <c r="F804" s="3"/>
      <c r="G804" s="3"/>
      <c r="H804" s="2"/>
      <c r="I804" s="3"/>
      <c r="J804" s="3"/>
      <c r="K804" s="3"/>
      <c r="L804" s="3"/>
    </row>
    <row r="805" spans="1:12" ht="15" customHeight="1" x14ac:dyDescent="0.2">
      <c r="A805" s="8"/>
      <c r="B805" s="9"/>
      <c r="C805" s="8"/>
      <c r="D805" s="9"/>
      <c r="E805" s="9"/>
      <c r="F805" s="9"/>
      <c r="G805" s="9"/>
      <c r="H805" s="8"/>
      <c r="I805" s="9"/>
      <c r="J805" s="9"/>
      <c r="K805" s="9"/>
      <c r="L805" s="9"/>
    </row>
    <row r="806" spans="1:12" ht="15" customHeight="1" x14ac:dyDescent="0.2">
      <c r="A806" s="2"/>
      <c r="B806" s="3"/>
      <c r="C806" s="2"/>
      <c r="D806" s="3"/>
      <c r="E806" s="3"/>
      <c r="F806" s="3"/>
      <c r="G806" s="3"/>
      <c r="H806" s="2"/>
      <c r="I806" s="3"/>
      <c r="J806" s="3"/>
      <c r="K806" s="3"/>
      <c r="L806" s="3"/>
    </row>
    <row r="807" spans="1:12" ht="15" customHeight="1" x14ac:dyDescent="0.2">
      <c r="A807" s="8"/>
      <c r="B807" s="9"/>
      <c r="C807" s="8"/>
      <c r="D807" s="9"/>
      <c r="E807" s="9"/>
      <c r="F807" s="9"/>
      <c r="G807" s="9"/>
      <c r="H807" s="8"/>
      <c r="I807" s="9"/>
      <c r="J807" s="9"/>
      <c r="K807" s="9"/>
      <c r="L807" s="9"/>
    </row>
    <row r="808" spans="1:12" ht="15" customHeight="1" x14ac:dyDescent="0.2">
      <c r="A808" s="2"/>
      <c r="B808" s="3"/>
      <c r="C808" s="2"/>
      <c r="D808" s="3"/>
      <c r="E808" s="3"/>
      <c r="F808" s="3"/>
      <c r="G808" s="3"/>
      <c r="H808" s="2"/>
      <c r="I808" s="3"/>
      <c r="J808" s="3"/>
      <c r="K808" s="3"/>
      <c r="L808" s="3"/>
    </row>
    <row r="809" spans="1:12" ht="15" customHeight="1" x14ac:dyDescent="0.2">
      <c r="A809" s="8"/>
      <c r="B809" s="9"/>
      <c r="C809" s="8"/>
      <c r="D809" s="9"/>
      <c r="E809" s="9"/>
      <c r="F809" s="9"/>
      <c r="G809" s="9"/>
      <c r="H809" s="8"/>
      <c r="I809" s="9"/>
      <c r="J809" s="9"/>
      <c r="K809" s="9"/>
      <c r="L809" s="9"/>
    </row>
    <row r="810" spans="1:12" ht="15" customHeight="1" x14ac:dyDescent="0.2">
      <c r="A810" s="2"/>
      <c r="B810" s="3"/>
      <c r="C810" s="2"/>
      <c r="D810" s="3"/>
      <c r="E810" s="3"/>
      <c r="F810" s="3"/>
      <c r="G810" s="3"/>
      <c r="H810" s="2"/>
      <c r="I810" s="3"/>
      <c r="J810" s="3"/>
      <c r="K810" s="3"/>
      <c r="L810" s="3"/>
    </row>
    <row r="811" spans="1:12" ht="15" customHeight="1" x14ac:dyDescent="0.2">
      <c r="A811" s="8"/>
      <c r="B811" s="9"/>
      <c r="C811" s="8"/>
      <c r="D811" s="9"/>
      <c r="E811" s="9"/>
      <c r="F811" s="9"/>
      <c r="G811" s="9"/>
      <c r="H811" s="8"/>
      <c r="I811" s="9"/>
      <c r="J811" s="9"/>
      <c r="K811" s="9"/>
      <c r="L811" s="9"/>
    </row>
    <row r="812" spans="1:12" ht="15" customHeight="1" x14ac:dyDescent="0.2">
      <c r="A812" s="2"/>
      <c r="B812" s="3"/>
      <c r="C812" s="2"/>
      <c r="D812" s="3"/>
      <c r="E812" s="3"/>
      <c r="F812" s="3"/>
      <c r="G812" s="3"/>
      <c r="H812" s="2"/>
      <c r="I812" s="3"/>
      <c r="J812" s="3"/>
      <c r="K812" s="3"/>
      <c r="L812" s="3"/>
    </row>
    <row r="813" spans="1:12" ht="15" customHeight="1" x14ac:dyDescent="0.2">
      <c r="A813" s="8"/>
      <c r="B813" s="9"/>
      <c r="C813" s="8"/>
      <c r="D813" s="9"/>
      <c r="E813" s="9"/>
      <c r="F813" s="9"/>
      <c r="G813" s="9"/>
      <c r="H813" s="8"/>
      <c r="I813" s="9"/>
      <c r="J813" s="9"/>
      <c r="K813" s="9"/>
      <c r="L813" s="9"/>
    </row>
    <row r="814" spans="1:12" ht="15" customHeight="1" x14ac:dyDescent="0.2">
      <c r="A814" s="2"/>
      <c r="B814" s="3"/>
      <c r="C814" s="2"/>
      <c r="D814" s="3"/>
      <c r="E814" s="3"/>
      <c r="F814" s="3"/>
      <c r="G814" s="3"/>
      <c r="H814" s="2"/>
      <c r="I814" s="3"/>
      <c r="J814" s="3"/>
      <c r="K814" s="3"/>
      <c r="L814" s="3"/>
    </row>
    <row r="815" spans="1:12" ht="15" customHeight="1" x14ac:dyDescent="0.2">
      <c r="A815" s="8"/>
      <c r="B815" s="9"/>
      <c r="C815" s="8"/>
      <c r="D815" s="9"/>
      <c r="E815" s="9"/>
      <c r="F815" s="9"/>
      <c r="G815" s="9"/>
      <c r="H815" s="8"/>
      <c r="I815" s="9"/>
      <c r="J815" s="9"/>
      <c r="K815" s="9"/>
      <c r="L815" s="9"/>
    </row>
    <row r="816" spans="1:12" ht="15" customHeight="1" x14ac:dyDescent="0.2">
      <c r="A816" s="2"/>
      <c r="B816" s="3"/>
      <c r="C816" s="2"/>
      <c r="D816" s="3"/>
      <c r="E816" s="3"/>
      <c r="F816" s="3"/>
      <c r="G816" s="3"/>
      <c r="H816" s="2"/>
      <c r="I816" s="3"/>
      <c r="J816" s="3"/>
      <c r="K816" s="3"/>
      <c r="L816" s="3"/>
    </row>
    <row r="817" spans="1:12" ht="15" customHeight="1" x14ac:dyDescent="0.2">
      <c r="A817" s="8"/>
      <c r="B817" s="9"/>
      <c r="C817" s="8"/>
      <c r="D817" s="9"/>
      <c r="E817" s="9"/>
      <c r="F817" s="9"/>
      <c r="G817" s="9"/>
      <c r="H817" s="8"/>
      <c r="I817" s="9"/>
      <c r="J817" s="9"/>
      <c r="K817" s="9"/>
      <c r="L817" s="9"/>
    </row>
    <row r="818" spans="1:12" ht="15" customHeight="1" x14ac:dyDescent="0.2">
      <c r="A818" s="2"/>
      <c r="B818" s="3"/>
      <c r="C818" s="2"/>
      <c r="D818" s="3"/>
      <c r="E818" s="3"/>
      <c r="F818" s="3"/>
      <c r="G818" s="3"/>
      <c r="H818" s="2"/>
      <c r="I818" s="3"/>
      <c r="J818" s="3"/>
      <c r="K818" s="3"/>
      <c r="L818" s="3"/>
    </row>
    <row r="819" spans="1:12" ht="15" customHeight="1" x14ac:dyDescent="0.2">
      <c r="A819" s="8"/>
      <c r="B819" s="9"/>
      <c r="C819" s="8"/>
      <c r="D819" s="9"/>
      <c r="E819" s="9"/>
      <c r="F819" s="9"/>
      <c r="G819" s="9"/>
      <c r="H819" s="8"/>
      <c r="I819" s="9"/>
      <c r="J819" s="9"/>
      <c r="K819" s="9"/>
      <c r="L819" s="9"/>
    </row>
    <row r="820" spans="1:12" ht="15" customHeight="1" x14ac:dyDescent="0.2">
      <c r="A820" s="2"/>
      <c r="B820" s="3"/>
      <c r="C820" s="2"/>
      <c r="D820" s="3"/>
      <c r="E820" s="3"/>
      <c r="F820" s="3"/>
      <c r="G820" s="3"/>
      <c r="H820" s="2"/>
      <c r="I820" s="3"/>
      <c r="J820" s="3"/>
      <c r="K820" s="3"/>
      <c r="L820" s="3"/>
    </row>
    <row r="821" spans="1:12" ht="15" customHeight="1" x14ac:dyDescent="0.2">
      <c r="A821" s="8"/>
      <c r="B821" s="9"/>
      <c r="C821" s="8"/>
      <c r="D821" s="9"/>
      <c r="E821" s="9"/>
      <c r="F821" s="9"/>
      <c r="G821" s="9"/>
      <c r="H821" s="8"/>
      <c r="I821" s="9"/>
      <c r="J821" s="9"/>
      <c r="K821" s="9"/>
      <c r="L821" s="9"/>
    </row>
    <row r="822" spans="1:12" ht="15" customHeight="1" x14ac:dyDescent="0.2">
      <c r="A822" s="2"/>
      <c r="B822" s="3"/>
      <c r="C822" s="2"/>
      <c r="D822" s="3"/>
      <c r="E822" s="3"/>
      <c r="F822" s="3"/>
      <c r="G822" s="3"/>
      <c r="H822" s="2"/>
      <c r="I822" s="3"/>
      <c r="J822" s="3"/>
      <c r="K822" s="3"/>
      <c r="L822" s="3"/>
    </row>
    <row r="823" spans="1:12" ht="15" customHeight="1" x14ac:dyDescent="0.2">
      <c r="A823" s="8"/>
      <c r="B823" s="9"/>
      <c r="C823" s="8"/>
      <c r="D823" s="9"/>
      <c r="E823" s="9"/>
      <c r="F823" s="9"/>
      <c r="G823" s="9"/>
      <c r="H823" s="8"/>
      <c r="I823" s="9"/>
      <c r="J823" s="9"/>
      <c r="K823" s="9"/>
      <c r="L823" s="9"/>
    </row>
    <row r="824" spans="1:12" ht="15" customHeight="1" x14ac:dyDescent="0.2">
      <c r="A824" s="2"/>
      <c r="B824" s="3"/>
      <c r="C824" s="2"/>
      <c r="D824" s="3"/>
      <c r="E824" s="3"/>
      <c r="F824" s="3"/>
      <c r="G824" s="3"/>
      <c r="H824" s="2"/>
      <c r="I824" s="3"/>
      <c r="J824" s="3"/>
      <c r="K824" s="3"/>
      <c r="L824" s="3"/>
    </row>
    <row r="825" spans="1:12" ht="15" customHeight="1" x14ac:dyDescent="0.2">
      <c r="A825" s="8"/>
      <c r="B825" s="9"/>
      <c r="C825" s="8"/>
      <c r="D825" s="9"/>
      <c r="E825" s="9"/>
      <c r="F825" s="9"/>
      <c r="G825" s="9"/>
      <c r="H825" s="8"/>
      <c r="I825" s="9"/>
      <c r="J825" s="9"/>
      <c r="K825" s="9"/>
      <c r="L825" s="9"/>
    </row>
    <row r="826" spans="1:12" ht="15" customHeight="1" x14ac:dyDescent="0.2">
      <c r="A826" s="2"/>
      <c r="B826" s="3"/>
      <c r="C826" s="2"/>
      <c r="D826" s="3"/>
      <c r="E826" s="3"/>
      <c r="F826" s="3"/>
      <c r="G826" s="3"/>
      <c r="H826" s="2"/>
      <c r="I826" s="3"/>
      <c r="J826" s="3"/>
      <c r="K826" s="3"/>
      <c r="L826" s="3"/>
    </row>
    <row r="827" spans="1:12" ht="15" customHeight="1" x14ac:dyDescent="0.2">
      <c r="A827" s="8"/>
      <c r="B827" s="9"/>
      <c r="C827" s="8"/>
      <c r="D827" s="9"/>
      <c r="E827" s="9"/>
      <c r="F827" s="9"/>
      <c r="G827" s="9"/>
      <c r="H827" s="8"/>
      <c r="I827" s="9"/>
      <c r="J827" s="9"/>
      <c r="K827" s="9"/>
      <c r="L827" s="9"/>
    </row>
    <row r="828" spans="1:12" ht="15" customHeight="1" x14ac:dyDescent="0.2">
      <c r="A828" s="2"/>
      <c r="B828" s="3"/>
      <c r="C828" s="2"/>
      <c r="D828" s="3"/>
      <c r="E828" s="3"/>
      <c r="F828" s="3"/>
      <c r="G828" s="3"/>
      <c r="H828" s="2"/>
      <c r="I828" s="3"/>
      <c r="J828" s="3"/>
      <c r="K828" s="3"/>
      <c r="L828" s="3"/>
    </row>
    <row r="829" spans="1:12" ht="15" customHeight="1" x14ac:dyDescent="0.2">
      <c r="A829" s="8"/>
      <c r="B829" s="9"/>
      <c r="C829" s="8"/>
      <c r="D829" s="9"/>
      <c r="E829" s="9"/>
      <c r="F829" s="9"/>
      <c r="G829" s="9"/>
      <c r="H829" s="8"/>
      <c r="I829" s="9"/>
      <c r="J829" s="9"/>
      <c r="K829" s="9"/>
      <c r="L829" s="9"/>
    </row>
    <row r="830" spans="1:12" ht="15" customHeight="1" x14ac:dyDescent="0.2">
      <c r="A830" s="2"/>
      <c r="B830" s="3"/>
      <c r="C830" s="2"/>
      <c r="D830" s="3"/>
      <c r="E830" s="3"/>
      <c r="F830" s="3"/>
      <c r="G830" s="3"/>
      <c r="H830" s="2"/>
      <c r="I830" s="3"/>
      <c r="J830" s="3"/>
      <c r="K830" s="3"/>
      <c r="L830" s="3"/>
    </row>
    <row r="831" spans="1:12" ht="15" customHeight="1" x14ac:dyDescent="0.2">
      <c r="A831" s="8"/>
      <c r="B831" s="9"/>
      <c r="C831" s="8"/>
      <c r="D831" s="9"/>
      <c r="E831" s="9"/>
      <c r="F831" s="9"/>
      <c r="G831" s="9"/>
      <c r="H831" s="8"/>
      <c r="I831" s="9"/>
      <c r="J831" s="9"/>
      <c r="K831" s="9"/>
      <c r="L831" s="9"/>
    </row>
    <row r="832" spans="1:12" ht="15" customHeight="1" x14ac:dyDescent="0.2">
      <c r="A832" s="2"/>
      <c r="B832" s="3"/>
      <c r="C832" s="2"/>
      <c r="D832" s="3"/>
      <c r="E832" s="3"/>
      <c r="F832" s="3"/>
      <c r="G832" s="3"/>
      <c r="H832" s="2"/>
      <c r="I832" s="3"/>
      <c r="J832" s="3"/>
      <c r="K832" s="3"/>
      <c r="L832" s="3"/>
    </row>
    <row r="833" spans="1:12" ht="15" customHeight="1" x14ac:dyDescent="0.2">
      <c r="A833" s="8"/>
      <c r="B833" s="9"/>
      <c r="C833" s="8"/>
      <c r="D833" s="9"/>
      <c r="E833" s="9"/>
      <c r="F833" s="9"/>
      <c r="G833" s="9"/>
      <c r="H833" s="8"/>
      <c r="I833" s="9"/>
      <c r="J833" s="9"/>
      <c r="K833" s="9"/>
      <c r="L833" s="9"/>
    </row>
    <row r="834" spans="1:12" ht="15" customHeight="1" x14ac:dyDescent="0.2">
      <c r="A834" s="2"/>
      <c r="B834" s="3"/>
      <c r="C834" s="2"/>
      <c r="D834" s="3"/>
      <c r="E834" s="3"/>
      <c r="F834" s="3"/>
      <c r="G834" s="3"/>
      <c r="H834" s="2"/>
      <c r="I834" s="3"/>
      <c r="J834" s="3"/>
      <c r="K834" s="3"/>
      <c r="L834" s="3"/>
    </row>
    <row r="835" spans="1:12" ht="15" customHeight="1" x14ac:dyDescent="0.2">
      <c r="A835" s="8"/>
      <c r="B835" s="9"/>
      <c r="C835" s="8"/>
      <c r="D835" s="9"/>
      <c r="E835" s="9"/>
      <c r="F835" s="9"/>
      <c r="G835" s="9"/>
      <c r="H835" s="8"/>
      <c r="I835" s="9"/>
      <c r="J835" s="9"/>
      <c r="K835" s="9"/>
      <c r="L835" s="9"/>
    </row>
    <row r="836" spans="1:12" ht="15" customHeight="1" x14ac:dyDescent="0.2">
      <c r="A836" s="2"/>
      <c r="B836" s="3"/>
      <c r="C836" s="2"/>
      <c r="D836" s="3"/>
      <c r="E836" s="3"/>
      <c r="F836" s="3"/>
      <c r="G836" s="3"/>
      <c r="H836" s="2"/>
      <c r="I836" s="3"/>
      <c r="J836" s="3"/>
      <c r="K836" s="3"/>
      <c r="L836" s="3"/>
    </row>
    <row r="837" spans="1:12" ht="15" customHeight="1" x14ac:dyDescent="0.2">
      <c r="A837" s="8"/>
      <c r="B837" s="9"/>
      <c r="C837" s="8"/>
      <c r="D837" s="9"/>
      <c r="E837" s="9"/>
      <c r="F837" s="9"/>
      <c r="G837" s="9"/>
      <c r="H837" s="8"/>
      <c r="I837" s="9"/>
      <c r="J837" s="9"/>
      <c r="K837" s="9"/>
      <c r="L837" s="9"/>
    </row>
    <row r="838" spans="1:12" ht="15" customHeight="1" x14ac:dyDescent="0.2">
      <c r="A838" s="2"/>
      <c r="B838" s="3"/>
      <c r="C838" s="2"/>
      <c r="D838" s="3"/>
      <c r="E838" s="3"/>
      <c r="F838" s="3"/>
      <c r="G838" s="3"/>
      <c r="H838" s="2"/>
      <c r="I838" s="3"/>
      <c r="J838" s="3"/>
      <c r="K838" s="3"/>
      <c r="L838" s="3"/>
    </row>
    <row r="839" spans="1:12" ht="15" customHeight="1" x14ac:dyDescent="0.2">
      <c r="A839" s="8"/>
      <c r="B839" s="9"/>
      <c r="C839" s="8"/>
      <c r="D839" s="9"/>
      <c r="E839" s="9"/>
      <c r="F839" s="9"/>
      <c r="G839" s="9"/>
      <c r="H839" s="8"/>
      <c r="I839" s="9"/>
      <c r="J839" s="9"/>
      <c r="K839" s="9"/>
      <c r="L839" s="9"/>
    </row>
    <row r="840" spans="1:12" ht="15" customHeight="1" x14ac:dyDescent="0.2">
      <c r="A840" s="2"/>
      <c r="B840" s="3"/>
      <c r="C840" s="2"/>
      <c r="D840" s="3"/>
      <c r="E840" s="3"/>
      <c r="F840" s="3"/>
      <c r="G840" s="3"/>
      <c r="H840" s="2"/>
      <c r="I840" s="3"/>
      <c r="J840" s="3"/>
      <c r="K840" s="3"/>
      <c r="L840" s="3"/>
    </row>
    <row r="841" spans="1:12" ht="15" customHeight="1" x14ac:dyDescent="0.2">
      <c r="A841" s="8"/>
      <c r="B841" s="9"/>
      <c r="C841" s="8"/>
      <c r="D841" s="9"/>
      <c r="E841" s="9"/>
      <c r="F841" s="9"/>
      <c r="G841" s="9"/>
      <c r="H841" s="8"/>
      <c r="I841" s="9"/>
      <c r="J841" s="9"/>
      <c r="K841" s="9"/>
      <c r="L841" s="9"/>
    </row>
    <row r="842" spans="1:12" ht="15" customHeight="1" x14ac:dyDescent="0.2">
      <c r="A842" s="2"/>
      <c r="B842" s="3"/>
      <c r="C842" s="2"/>
      <c r="D842" s="3"/>
      <c r="E842" s="3"/>
      <c r="F842" s="3"/>
      <c r="G842" s="3"/>
      <c r="H842" s="2"/>
      <c r="I842" s="3"/>
      <c r="J842" s="3"/>
      <c r="K842" s="3"/>
      <c r="L842" s="3"/>
    </row>
    <row r="843" spans="1:12" ht="15" customHeight="1" x14ac:dyDescent="0.2">
      <c r="A843" s="8"/>
      <c r="B843" s="9"/>
      <c r="C843" s="8"/>
      <c r="D843" s="9"/>
      <c r="E843" s="9"/>
      <c r="F843" s="9"/>
      <c r="G843" s="9"/>
      <c r="H843" s="8"/>
      <c r="I843" s="9"/>
      <c r="J843" s="9"/>
      <c r="K843" s="9"/>
      <c r="L843" s="9"/>
    </row>
    <row r="844" spans="1:12" ht="15" customHeight="1" x14ac:dyDescent="0.2">
      <c r="A844" s="2"/>
      <c r="B844" s="3"/>
      <c r="C844" s="2"/>
      <c r="D844" s="3"/>
      <c r="E844" s="3"/>
      <c r="F844" s="3"/>
      <c r="G844" s="3"/>
      <c r="H844" s="2"/>
      <c r="I844" s="3"/>
      <c r="J844" s="3"/>
      <c r="K844" s="3"/>
      <c r="L844" s="3"/>
    </row>
    <row r="845" spans="1:12" ht="15" customHeight="1" x14ac:dyDescent="0.2">
      <c r="A845" s="8"/>
      <c r="B845" s="9"/>
      <c r="C845" s="8"/>
      <c r="D845" s="9"/>
      <c r="E845" s="9"/>
      <c r="F845" s="9"/>
      <c r="G845" s="9"/>
      <c r="H845" s="8"/>
      <c r="I845" s="9"/>
      <c r="J845" s="9"/>
      <c r="K845" s="9"/>
      <c r="L845" s="9"/>
    </row>
    <row r="846" spans="1:12" ht="15" customHeight="1" x14ac:dyDescent="0.2">
      <c r="A846" s="2"/>
      <c r="B846" s="3"/>
      <c r="C846" s="2"/>
      <c r="D846" s="3"/>
      <c r="E846" s="3"/>
      <c r="F846" s="3"/>
      <c r="G846" s="3"/>
      <c r="H846" s="2"/>
      <c r="I846" s="3"/>
      <c r="J846" s="3"/>
      <c r="K846" s="3"/>
      <c r="L846" s="3"/>
    </row>
    <row r="847" spans="1:12" ht="15" customHeight="1" x14ac:dyDescent="0.2">
      <c r="A847" s="8"/>
      <c r="B847" s="9"/>
      <c r="C847" s="8"/>
      <c r="D847" s="9"/>
      <c r="E847" s="9"/>
      <c r="F847" s="9"/>
      <c r="G847" s="9"/>
      <c r="H847" s="8"/>
      <c r="I847" s="9"/>
      <c r="J847" s="9"/>
      <c r="K847" s="9"/>
      <c r="L847" s="9"/>
    </row>
    <row r="848" spans="1:12" ht="15" customHeight="1" x14ac:dyDescent="0.2">
      <c r="A848" s="2"/>
      <c r="B848" s="3"/>
      <c r="C848" s="2"/>
      <c r="D848" s="3"/>
      <c r="E848" s="3"/>
      <c r="F848" s="3"/>
      <c r="G848" s="3"/>
      <c r="H848" s="2"/>
      <c r="I848" s="3"/>
      <c r="J848" s="3"/>
      <c r="K848" s="3"/>
      <c r="L848" s="3"/>
    </row>
    <row r="849" spans="1:12" ht="15" customHeight="1" x14ac:dyDescent="0.2">
      <c r="A849" s="8"/>
      <c r="B849" s="9"/>
      <c r="C849" s="8"/>
      <c r="D849" s="9"/>
      <c r="E849" s="9"/>
      <c r="F849" s="9"/>
      <c r="G849" s="9"/>
      <c r="H849" s="8"/>
      <c r="I849" s="9"/>
      <c r="J849" s="9"/>
      <c r="K849" s="9"/>
      <c r="L849" s="9"/>
    </row>
    <row r="850" spans="1:12" ht="15" customHeight="1" x14ac:dyDescent="0.2">
      <c r="A850" s="2"/>
      <c r="B850" s="3"/>
      <c r="C850" s="2"/>
      <c r="D850" s="3"/>
      <c r="E850" s="3"/>
      <c r="F850" s="3"/>
      <c r="G850" s="3"/>
      <c r="H850" s="2"/>
      <c r="I850" s="3"/>
      <c r="J850" s="3"/>
      <c r="K850" s="3"/>
      <c r="L850" s="3"/>
    </row>
    <row r="851" spans="1:12" ht="15" customHeight="1" x14ac:dyDescent="0.2">
      <c r="A851" s="8"/>
      <c r="B851" s="9"/>
      <c r="C851" s="8"/>
      <c r="D851" s="9"/>
      <c r="E851" s="9"/>
      <c r="F851" s="9"/>
      <c r="G851" s="9"/>
      <c r="H851" s="8"/>
      <c r="I851" s="9"/>
      <c r="J851" s="9"/>
      <c r="K851" s="9"/>
      <c r="L851" s="9"/>
    </row>
    <row r="852" spans="1:12" ht="15" customHeight="1" x14ac:dyDescent="0.2">
      <c r="A852" s="2"/>
      <c r="B852" s="3"/>
      <c r="C852" s="2"/>
      <c r="D852" s="3"/>
      <c r="E852" s="3"/>
      <c r="F852" s="3"/>
      <c r="G852" s="3"/>
      <c r="H852" s="2"/>
      <c r="I852" s="3"/>
      <c r="J852" s="3"/>
      <c r="K852" s="3"/>
      <c r="L852" s="3"/>
    </row>
    <row r="853" spans="1:12" ht="15" customHeight="1" x14ac:dyDescent="0.2">
      <c r="A853" s="8"/>
      <c r="B853" s="9"/>
      <c r="C853" s="8"/>
      <c r="D853" s="9"/>
      <c r="E853" s="9"/>
      <c r="F853" s="9"/>
      <c r="G853" s="9"/>
      <c r="H853" s="8"/>
      <c r="I853" s="9"/>
      <c r="J853" s="9"/>
      <c r="K853" s="9"/>
      <c r="L853" s="9"/>
    </row>
    <row r="854" spans="1:12" ht="15" customHeight="1" x14ac:dyDescent="0.2">
      <c r="A854" s="2"/>
      <c r="B854" s="3"/>
      <c r="C854" s="2"/>
      <c r="D854" s="3"/>
      <c r="E854" s="3"/>
      <c r="F854" s="3"/>
      <c r="G854" s="3"/>
      <c r="H854" s="2"/>
      <c r="I854" s="3"/>
      <c r="J854" s="3"/>
      <c r="K854" s="3"/>
      <c r="L854" s="3"/>
    </row>
    <row r="855" spans="1:12" ht="15" customHeight="1" x14ac:dyDescent="0.2">
      <c r="A855" s="8"/>
      <c r="B855" s="9"/>
      <c r="C855" s="8"/>
      <c r="D855" s="9"/>
      <c r="E855" s="9"/>
      <c r="F855" s="9"/>
      <c r="G855" s="9"/>
      <c r="H855" s="8"/>
      <c r="I855" s="9"/>
      <c r="J855" s="9"/>
      <c r="K855" s="9"/>
      <c r="L855" s="9"/>
    </row>
    <row r="856" spans="1:12" ht="15" customHeight="1" x14ac:dyDescent="0.2">
      <c r="A856" s="2"/>
      <c r="B856" s="3"/>
      <c r="C856" s="2"/>
      <c r="D856" s="3"/>
      <c r="E856" s="3"/>
      <c r="F856" s="3"/>
      <c r="G856" s="3"/>
      <c r="H856" s="2"/>
      <c r="I856" s="3"/>
      <c r="J856" s="3"/>
      <c r="K856" s="3"/>
      <c r="L856" s="3"/>
    </row>
    <row r="857" spans="1:12" ht="15" customHeight="1" x14ac:dyDescent="0.2">
      <c r="A857" s="8"/>
      <c r="B857" s="9"/>
      <c r="C857" s="8"/>
      <c r="D857" s="9"/>
      <c r="E857" s="9"/>
      <c r="F857" s="9"/>
      <c r="G857" s="9"/>
      <c r="H857" s="8"/>
      <c r="I857" s="9"/>
      <c r="J857" s="9"/>
      <c r="K857" s="9"/>
      <c r="L857" s="9"/>
    </row>
    <row r="858" spans="1:12" ht="15" customHeight="1" x14ac:dyDescent="0.2">
      <c r="A858" s="2"/>
      <c r="B858" s="3"/>
      <c r="C858" s="2"/>
      <c r="D858" s="3"/>
      <c r="E858" s="3"/>
      <c r="F858" s="3"/>
      <c r="G858" s="3"/>
      <c r="H858" s="2"/>
      <c r="I858" s="3"/>
      <c r="J858" s="3"/>
      <c r="K858" s="3"/>
      <c r="L858" s="3"/>
    </row>
    <row r="859" spans="1:12" ht="15" customHeight="1" x14ac:dyDescent="0.2">
      <c r="A859" s="8"/>
      <c r="B859" s="9"/>
      <c r="C859" s="8"/>
      <c r="D859" s="9"/>
      <c r="E859" s="9"/>
      <c r="F859" s="9"/>
      <c r="G859" s="9"/>
      <c r="H859" s="8"/>
      <c r="I859" s="9"/>
      <c r="J859" s="9"/>
      <c r="K859" s="9"/>
      <c r="L859" s="9"/>
    </row>
    <row r="860" spans="1:12" ht="15" customHeight="1" x14ac:dyDescent="0.2">
      <c r="A860" s="2"/>
      <c r="B860" s="3"/>
      <c r="C860" s="2"/>
      <c r="D860" s="3"/>
      <c r="E860" s="3"/>
      <c r="F860" s="3"/>
      <c r="G860" s="3"/>
      <c r="H860" s="2"/>
      <c r="I860" s="3"/>
      <c r="J860" s="3"/>
      <c r="K860" s="3"/>
      <c r="L860" s="3"/>
    </row>
    <row r="861" spans="1:12" ht="15" customHeight="1" x14ac:dyDescent="0.2">
      <c r="A861" s="8"/>
      <c r="B861" s="9"/>
      <c r="C861" s="8"/>
      <c r="D861" s="9"/>
      <c r="E861" s="9"/>
      <c r="F861" s="9"/>
      <c r="G861" s="9"/>
      <c r="H861" s="8"/>
      <c r="I861" s="9"/>
      <c r="J861" s="9"/>
      <c r="K861" s="9"/>
      <c r="L861" s="9"/>
    </row>
    <row r="862" spans="1:12" ht="15" customHeight="1" x14ac:dyDescent="0.2">
      <c r="A862" s="2"/>
      <c r="B862" s="3"/>
      <c r="C862" s="2"/>
      <c r="D862" s="3"/>
      <c r="E862" s="3"/>
      <c r="F862" s="3"/>
      <c r="G862" s="3"/>
      <c r="H862" s="2"/>
      <c r="I862" s="3"/>
      <c r="J862" s="3"/>
      <c r="K862" s="3"/>
      <c r="L862" s="3"/>
    </row>
    <row r="863" spans="1:12" ht="15" customHeight="1" x14ac:dyDescent="0.2">
      <c r="A863" s="8"/>
      <c r="B863" s="9"/>
      <c r="C863" s="8"/>
      <c r="D863" s="9"/>
      <c r="E863" s="9"/>
      <c r="F863" s="9"/>
      <c r="G863" s="9"/>
      <c r="H863" s="8"/>
      <c r="I863" s="9"/>
      <c r="J863" s="9"/>
      <c r="K863" s="9"/>
      <c r="L863" s="9"/>
    </row>
    <row r="864" spans="1:12" ht="15" customHeight="1" x14ac:dyDescent="0.2">
      <c r="A864" s="2"/>
      <c r="B864" s="3"/>
      <c r="C864" s="2"/>
      <c r="D864" s="3"/>
      <c r="E864" s="3"/>
      <c r="F864" s="3"/>
      <c r="G864" s="3"/>
      <c r="H864" s="2"/>
      <c r="I864" s="3"/>
      <c r="J864" s="3"/>
      <c r="K864" s="3"/>
      <c r="L864" s="3"/>
    </row>
    <row r="865" spans="1:12" ht="15" customHeight="1" x14ac:dyDescent="0.2">
      <c r="A865" s="8"/>
      <c r="B865" s="9"/>
      <c r="C865" s="8"/>
      <c r="D865" s="9"/>
      <c r="E865" s="9"/>
      <c r="F865" s="9"/>
      <c r="G865" s="9"/>
      <c r="H865" s="8"/>
      <c r="I865" s="9"/>
      <c r="J865" s="9"/>
      <c r="K865" s="9"/>
      <c r="L865" s="9"/>
    </row>
    <row r="866" spans="1:12" ht="15" customHeight="1" x14ac:dyDescent="0.2">
      <c r="A866" s="2"/>
      <c r="B866" s="3"/>
      <c r="C866" s="2"/>
      <c r="D866" s="3"/>
      <c r="E866" s="3"/>
      <c r="F866" s="3"/>
      <c r="G866" s="3"/>
      <c r="H866" s="2"/>
      <c r="I866" s="3"/>
      <c r="J866" s="3"/>
      <c r="K866" s="3"/>
      <c r="L866" s="3"/>
    </row>
    <row r="867" spans="1:12" ht="15" customHeight="1" x14ac:dyDescent="0.2">
      <c r="A867" s="8"/>
      <c r="B867" s="9"/>
      <c r="C867" s="8"/>
      <c r="D867" s="9"/>
      <c r="E867" s="9"/>
      <c r="F867" s="9"/>
      <c r="G867" s="9"/>
      <c r="H867" s="8"/>
      <c r="I867" s="9"/>
      <c r="J867" s="9"/>
      <c r="K867" s="9"/>
      <c r="L867" s="9"/>
    </row>
    <row r="868" spans="1:12" ht="15" customHeight="1" x14ac:dyDescent="0.2">
      <c r="A868" s="2"/>
      <c r="B868" s="3"/>
      <c r="C868" s="2"/>
      <c r="D868" s="3"/>
      <c r="E868" s="3"/>
      <c r="F868" s="3"/>
      <c r="G868" s="3"/>
      <c r="H868" s="2"/>
      <c r="I868" s="3"/>
      <c r="J868" s="3"/>
      <c r="K868" s="3"/>
      <c r="L868" s="3"/>
    </row>
    <row r="869" spans="1:12" ht="15" customHeight="1" x14ac:dyDescent="0.2">
      <c r="A869" s="8"/>
      <c r="B869" s="9"/>
      <c r="C869" s="8"/>
      <c r="D869" s="9"/>
      <c r="E869" s="9"/>
      <c r="F869" s="9"/>
      <c r="G869" s="9"/>
      <c r="H869" s="8"/>
      <c r="I869" s="9"/>
      <c r="J869" s="9"/>
      <c r="K869" s="9"/>
      <c r="L869" s="9"/>
    </row>
    <row r="870" spans="1:12" ht="15" customHeight="1" x14ac:dyDescent="0.2">
      <c r="A870" s="2"/>
      <c r="B870" s="3"/>
      <c r="C870" s="2"/>
      <c r="D870" s="3"/>
      <c r="E870" s="3"/>
      <c r="F870" s="3"/>
      <c r="G870" s="3"/>
      <c r="H870" s="2"/>
      <c r="I870" s="3"/>
      <c r="J870" s="3"/>
      <c r="K870" s="3"/>
      <c r="L870" s="3"/>
    </row>
    <row r="871" spans="1:12" ht="15" customHeight="1" x14ac:dyDescent="0.2">
      <c r="A871" s="8"/>
      <c r="B871" s="9"/>
      <c r="C871" s="8"/>
      <c r="D871" s="9"/>
      <c r="E871" s="9"/>
      <c r="F871" s="9"/>
      <c r="G871" s="9"/>
      <c r="H871" s="8"/>
      <c r="I871" s="9"/>
      <c r="J871" s="9"/>
      <c r="K871" s="9"/>
      <c r="L871" s="9"/>
    </row>
    <row r="872" spans="1:12" ht="15" customHeight="1" x14ac:dyDescent="0.2">
      <c r="A872" s="2"/>
      <c r="B872" s="3"/>
      <c r="C872" s="2"/>
      <c r="D872" s="3"/>
      <c r="E872" s="3"/>
      <c r="F872" s="3"/>
      <c r="G872" s="3"/>
      <c r="H872" s="2"/>
      <c r="I872" s="3"/>
      <c r="J872" s="3"/>
      <c r="K872" s="3"/>
      <c r="L872" s="3"/>
    </row>
    <row r="873" spans="1:12" ht="15" customHeight="1" x14ac:dyDescent="0.2">
      <c r="A873" s="8"/>
      <c r="B873" s="9"/>
      <c r="C873" s="8"/>
      <c r="D873" s="9"/>
      <c r="E873" s="9"/>
      <c r="F873" s="9"/>
      <c r="G873" s="9"/>
      <c r="H873" s="8"/>
      <c r="I873" s="9"/>
      <c r="J873" s="9"/>
      <c r="K873" s="9"/>
      <c r="L873" s="9"/>
    </row>
    <row r="874" spans="1:12" ht="15" customHeight="1" x14ac:dyDescent="0.2">
      <c r="A874" s="2"/>
      <c r="B874" s="3"/>
      <c r="C874" s="2"/>
      <c r="D874" s="3"/>
      <c r="E874" s="3"/>
      <c r="F874" s="3"/>
      <c r="G874" s="3"/>
      <c r="H874" s="2"/>
      <c r="I874" s="3"/>
      <c r="J874" s="3"/>
      <c r="K874" s="3"/>
      <c r="L874" s="3"/>
    </row>
    <row r="875" spans="1:12" ht="15" customHeight="1" x14ac:dyDescent="0.2">
      <c r="A875" s="8"/>
      <c r="B875" s="9"/>
      <c r="C875" s="8"/>
      <c r="D875" s="9"/>
      <c r="E875" s="9"/>
      <c r="F875" s="9"/>
      <c r="G875" s="9"/>
      <c r="H875" s="8"/>
      <c r="I875" s="9"/>
      <c r="J875" s="9"/>
      <c r="K875" s="9"/>
      <c r="L875" s="9"/>
    </row>
    <row r="876" spans="1:12" ht="15" customHeight="1" x14ac:dyDescent="0.2">
      <c r="A876" s="2"/>
      <c r="B876" s="3"/>
      <c r="C876" s="2"/>
      <c r="D876" s="3"/>
      <c r="E876" s="3"/>
      <c r="F876" s="3"/>
      <c r="G876" s="3"/>
      <c r="H876" s="2"/>
      <c r="I876" s="3"/>
      <c r="J876" s="3"/>
      <c r="K876" s="3"/>
      <c r="L876" s="3"/>
    </row>
    <row r="877" spans="1:12" ht="15" customHeight="1" x14ac:dyDescent="0.2">
      <c r="A877" s="8"/>
      <c r="B877" s="9"/>
      <c r="C877" s="8"/>
      <c r="D877" s="9"/>
      <c r="E877" s="9"/>
      <c r="F877" s="9"/>
      <c r="G877" s="9"/>
      <c r="H877" s="8"/>
      <c r="I877" s="9"/>
      <c r="J877" s="9"/>
      <c r="K877" s="9"/>
      <c r="L877" s="9"/>
    </row>
    <row r="878" spans="1:12" ht="15" customHeight="1" x14ac:dyDescent="0.2">
      <c r="A878" s="2"/>
      <c r="B878" s="3"/>
      <c r="C878" s="2"/>
      <c r="D878" s="3"/>
      <c r="E878" s="3"/>
      <c r="F878" s="3"/>
      <c r="G878" s="3"/>
      <c r="H878" s="2"/>
      <c r="I878" s="3"/>
      <c r="J878" s="3"/>
      <c r="K878" s="3"/>
      <c r="L878" s="3"/>
    </row>
    <row r="879" spans="1:12" ht="15" customHeight="1" x14ac:dyDescent="0.2">
      <c r="A879" s="8"/>
      <c r="B879" s="9"/>
      <c r="C879" s="8"/>
      <c r="D879" s="9"/>
      <c r="E879" s="9"/>
      <c r="F879" s="9"/>
      <c r="G879" s="9"/>
      <c r="H879" s="8"/>
      <c r="I879" s="9"/>
      <c r="J879" s="9"/>
      <c r="K879" s="9"/>
      <c r="L879" s="9"/>
    </row>
    <row r="880" spans="1:12" ht="15" customHeight="1" x14ac:dyDescent="0.2">
      <c r="A880" s="2"/>
      <c r="B880" s="3"/>
      <c r="C880" s="2"/>
      <c r="D880" s="3"/>
      <c r="E880" s="3"/>
      <c r="F880" s="3"/>
      <c r="G880" s="3"/>
      <c r="H880" s="2"/>
      <c r="I880" s="3"/>
      <c r="J880" s="3"/>
      <c r="K880" s="3"/>
      <c r="L880" s="3"/>
    </row>
    <row r="881" spans="1:12" ht="15" customHeight="1" x14ac:dyDescent="0.2">
      <c r="A881" s="8"/>
      <c r="B881" s="9"/>
      <c r="C881" s="8"/>
      <c r="D881" s="9"/>
      <c r="E881" s="9"/>
      <c r="F881" s="9"/>
      <c r="G881" s="9"/>
      <c r="H881" s="8"/>
      <c r="I881" s="9"/>
      <c r="J881" s="9"/>
      <c r="K881" s="9"/>
      <c r="L881" s="9"/>
    </row>
    <row r="882" spans="1:12" ht="15" customHeight="1" x14ac:dyDescent="0.2">
      <c r="A882" s="2"/>
      <c r="B882" s="3"/>
      <c r="C882" s="2"/>
      <c r="D882" s="3"/>
      <c r="E882" s="3"/>
      <c r="F882" s="3"/>
      <c r="G882" s="3"/>
      <c r="H882" s="2"/>
      <c r="I882" s="3"/>
      <c r="J882" s="3"/>
      <c r="K882" s="3"/>
      <c r="L882" s="3"/>
    </row>
    <row r="883" spans="1:12" ht="15" customHeight="1" x14ac:dyDescent="0.2">
      <c r="A883" s="8"/>
      <c r="B883" s="9"/>
      <c r="C883" s="8"/>
      <c r="D883" s="9"/>
      <c r="E883" s="9"/>
      <c r="F883" s="9"/>
      <c r="G883" s="9"/>
      <c r="H883" s="8"/>
      <c r="I883" s="9"/>
      <c r="J883" s="9"/>
      <c r="K883" s="9"/>
      <c r="L883" s="9"/>
    </row>
    <row r="884" spans="1:12" ht="15" customHeight="1" x14ac:dyDescent="0.2">
      <c r="A884" s="2"/>
      <c r="B884" s="3"/>
      <c r="C884" s="2"/>
      <c r="D884" s="3"/>
      <c r="E884" s="3"/>
      <c r="F884" s="3"/>
      <c r="G884" s="3"/>
      <c r="H884" s="2"/>
      <c r="I884" s="3"/>
      <c r="J884" s="3"/>
      <c r="K884" s="3"/>
      <c r="L884" s="3"/>
    </row>
    <row r="885" spans="1:12" ht="15" customHeight="1" x14ac:dyDescent="0.2">
      <c r="A885" s="8"/>
      <c r="B885" s="9"/>
      <c r="C885" s="8"/>
      <c r="D885" s="9"/>
      <c r="E885" s="9"/>
      <c r="F885" s="9"/>
      <c r="G885" s="9"/>
      <c r="H885" s="8"/>
      <c r="I885" s="9"/>
      <c r="J885" s="9"/>
      <c r="K885" s="9"/>
      <c r="L885" s="9"/>
    </row>
    <row r="886" spans="1:12" ht="15" customHeight="1" x14ac:dyDescent="0.2">
      <c r="A886" s="2"/>
      <c r="B886" s="3"/>
      <c r="C886" s="2"/>
      <c r="D886" s="3"/>
      <c r="E886" s="3"/>
      <c r="F886" s="3"/>
      <c r="G886" s="3"/>
      <c r="H886" s="2"/>
      <c r="I886" s="3"/>
      <c r="J886" s="3"/>
      <c r="K886" s="3"/>
      <c r="L886" s="3"/>
    </row>
    <row r="887" spans="1:12" ht="15" customHeight="1" x14ac:dyDescent="0.2">
      <c r="A887" s="8"/>
      <c r="B887" s="9"/>
      <c r="C887" s="8"/>
      <c r="D887" s="9"/>
      <c r="E887" s="9"/>
      <c r="F887" s="9"/>
      <c r="G887" s="9"/>
      <c r="H887" s="8"/>
      <c r="I887" s="9"/>
      <c r="J887" s="9"/>
      <c r="K887" s="9"/>
      <c r="L887" s="9"/>
    </row>
    <row r="888" spans="1:12" ht="15" customHeight="1" x14ac:dyDescent="0.2">
      <c r="A888" s="2"/>
      <c r="B888" s="3"/>
      <c r="C888" s="2"/>
      <c r="D888" s="3"/>
      <c r="E888" s="3"/>
      <c r="F888" s="3"/>
      <c r="G888" s="3"/>
      <c r="H888" s="2"/>
      <c r="I888" s="3"/>
      <c r="J888" s="3"/>
      <c r="K888" s="3"/>
      <c r="L888" s="3"/>
    </row>
    <row r="889" spans="1:12" ht="15" customHeight="1" x14ac:dyDescent="0.2">
      <c r="A889" s="8"/>
      <c r="B889" s="9"/>
      <c r="C889" s="8"/>
      <c r="D889" s="9"/>
      <c r="E889" s="9"/>
      <c r="F889" s="9"/>
      <c r="G889" s="9"/>
      <c r="H889" s="8"/>
      <c r="I889" s="9"/>
      <c r="J889" s="9"/>
      <c r="K889" s="9"/>
      <c r="L889" s="9"/>
    </row>
    <row r="890" spans="1:12" ht="15" customHeight="1" x14ac:dyDescent="0.2">
      <c r="A890" s="2"/>
      <c r="B890" s="3"/>
      <c r="C890" s="2"/>
      <c r="D890" s="3"/>
      <c r="E890" s="3"/>
      <c r="F890" s="3"/>
      <c r="G890" s="3"/>
      <c r="H890" s="2"/>
      <c r="I890" s="3"/>
      <c r="J890" s="3"/>
      <c r="K890" s="3"/>
      <c r="L890" s="3"/>
    </row>
    <row r="891" spans="1:12" ht="15" customHeight="1" x14ac:dyDescent="0.2">
      <c r="A891" s="8"/>
      <c r="B891" s="9"/>
      <c r="C891" s="8"/>
      <c r="D891" s="9"/>
      <c r="E891" s="9"/>
      <c r="F891" s="9"/>
      <c r="G891" s="9"/>
      <c r="H891" s="8"/>
      <c r="I891" s="9"/>
      <c r="J891" s="9"/>
      <c r="K891" s="9"/>
      <c r="L891" s="9"/>
    </row>
    <row r="892" spans="1:12" ht="15" customHeight="1" x14ac:dyDescent="0.2">
      <c r="A892" s="2"/>
      <c r="B892" s="3"/>
      <c r="C892" s="2"/>
      <c r="D892" s="3"/>
      <c r="E892" s="3"/>
      <c r="F892" s="3"/>
      <c r="G892" s="3"/>
      <c r="H892" s="2"/>
      <c r="I892" s="3"/>
      <c r="J892" s="3"/>
      <c r="K892" s="3"/>
      <c r="L892" s="3"/>
    </row>
    <row r="893" spans="1:12" ht="15" customHeight="1" x14ac:dyDescent="0.2">
      <c r="A893" s="8"/>
      <c r="B893" s="9"/>
      <c r="C893" s="8"/>
      <c r="D893" s="9"/>
      <c r="E893" s="9"/>
      <c r="F893" s="9"/>
      <c r="G893" s="9"/>
      <c r="H893" s="8"/>
      <c r="I893" s="9"/>
      <c r="J893" s="9"/>
      <c r="K893" s="9"/>
      <c r="L893" s="9"/>
    </row>
    <row r="894" spans="1:12" ht="15" customHeight="1" x14ac:dyDescent="0.2">
      <c r="A894" s="2"/>
      <c r="B894" s="3"/>
      <c r="C894" s="2"/>
      <c r="D894" s="3"/>
      <c r="E894" s="3"/>
      <c r="F894" s="3"/>
      <c r="G894" s="3"/>
      <c r="H894" s="2"/>
      <c r="I894" s="3"/>
      <c r="J894" s="3"/>
      <c r="K894" s="3"/>
      <c r="L894" s="3"/>
    </row>
    <row r="895" spans="1:12" ht="15" customHeight="1" x14ac:dyDescent="0.2">
      <c r="A895" s="8"/>
      <c r="B895" s="9"/>
      <c r="C895" s="8"/>
      <c r="D895" s="9"/>
      <c r="E895" s="9"/>
      <c r="F895" s="9"/>
      <c r="G895" s="9"/>
      <c r="H895" s="8"/>
      <c r="I895" s="9"/>
      <c r="J895" s="9"/>
      <c r="K895" s="9"/>
      <c r="L895" s="9"/>
    </row>
    <row r="896" spans="1:12" ht="15" customHeight="1" x14ac:dyDescent="0.2">
      <c r="A896" s="2"/>
      <c r="B896" s="3"/>
      <c r="C896" s="2"/>
      <c r="D896" s="3"/>
      <c r="E896" s="3"/>
      <c r="F896" s="3"/>
      <c r="G896" s="3"/>
      <c r="H896" s="2"/>
      <c r="I896" s="3"/>
      <c r="J896" s="3"/>
      <c r="K896" s="3"/>
      <c r="L896" s="3"/>
    </row>
    <row r="897" spans="1:12" ht="15" customHeight="1" x14ac:dyDescent="0.2">
      <c r="A897" s="8"/>
      <c r="B897" s="9"/>
      <c r="C897" s="8"/>
      <c r="D897" s="9"/>
      <c r="E897" s="9"/>
      <c r="F897" s="9"/>
      <c r="G897" s="9"/>
      <c r="H897" s="8"/>
      <c r="I897" s="9"/>
      <c r="J897" s="9"/>
      <c r="K897" s="9"/>
      <c r="L897" s="9"/>
    </row>
    <row r="898" spans="1:12" ht="15" customHeight="1" x14ac:dyDescent="0.2">
      <c r="A898" s="2"/>
      <c r="B898" s="3"/>
      <c r="C898" s="2"/>
      <c r="D898" s="3"/>
      <c r="E898" s="3"/>
      <c r="F898" s="3"/>
      <c r="G898" s="3"/>
      <c r="H898" s="2"/>
      <c r="I898" s="3"/>
      <c r="J898" s="3"/>
      <c r="K898" s="3"/>
      <c r="L898" s="3"/>
    </row>
    <row r="899" spans="1:12" ht="15" customHeight="1" x14ac:dyDescent="0.2">
      <c r="A899" s="8"/>
      <c r="B899" s="9"/>
      <c r="C899" s="8"/>
      <c r="D899" s="9"/>
      <c r="E899" s="9"/>
      <c r="F899" s="9"/>
      <c r="G899" s="9"/>
      <c r="H899" s="8"/>
      <c r="I899" s="9"/>
      <c r="J899" s="9"/>
      <c r="K899" s="9"/>
      <c r="L899" s="9"/>
    </row>
    <row r="900" spans="1:12" ht="15" customHeight="1" x14ac:dyDescent="0.2">
      <c r="A900" s="2"/>
      <c r="B900" s="3"/>
      <c r="C900" s="2"/>
      <c r="D900" s="3"/>
      <c r="E900" s="3"/>
      <c r="F900" s="3"/>
      <c r="G900" s="3"/>
      <c r="H900" s="2"/>
      <c r="I900" s="3"/>
      <c r="J900" s="3"/>
      <c r="K900" s="3"/>
      <c r="L900" s="3"/>
    </row>
    <row r="901" spans="1:12" ht="15" customHeight="1" x14ac:dyDescent="0.2">
      <c r="A901" s="8"/>
      <c r="B901" s="9"/>
      <c r="C901" s="8"/>
      <c r="D901" s="9"/>
      <c r="E901" s="9"/>
      <c r="F901" s="9"/>
      <c r="G901" s="9"/>
      <c r="H901" s="8"/>
      <c r="I901" s="9"/>
      <c r="J901" s="9"/>
      <c r="K901" s="9"/>
      <c r="L901" s="9"/>
    </row>
    <row r="902" spans="1:12" ht="15" customHeight="1" x14ac:dyDescent="0.2">
      <c r="A902" s="2"/>
      <c r="B902" s="3"/>
      <c r="C902" s="2"/>
      <c r="D902" s="3"/>
      <c r="E902" s="3"/>
      <c r="F902" s="3"/>
      <c r="G902" s="3"/>
      <c r="H902" s="2"/>
      <c r="I902" s="3"/>
      <c r="J902" s="3"/>
      <c r="K902" s="3"/>
      <c r="L902" s="3"/>
    </row>
    <row r="903" spans="1:12" ht="15" customHeight="1" x14ac:dyDescent="0.2">
      <c r="A903" s="8"/>
      <c r="B903" s="9"/>
      <c r="C903" s="8"/>
      <c r="D903" s="9"/>
      <c r="E903" s="9"/>
      <c r="F903" s="9"/>
      <c r="G903" s="9"/>
      <c r="H903" s="8"/>
      <c r="I903" s="9"/>
      <c r="J903" s="9"/>
      <c r="K903" s="9"/>
      <c r="L903" s="9"/>
    </row>
    <row r="904" spans="1:12" ht="15" customHeight="1" x14ac:dyDescent="0.2">
      <c r="A904" s="2"/>
      <c r="B904" s="3"/>
      <c r="C904" s="2"/>
      <c r="D904" s="3"/>
      <c r="E904" s="3"/>
      <c r="F904" s="3"/>
      <c r="G904" s="3"/>
      <c r="H904" s="2"/>
      <c r="I904" s="3"/>
      <c r="J904" s="3"/>
      <c r="K904" s="3"/>
      <c r="L904" s="3"/>
    </row>
    <row r="905" spans="1:12" ht="15" customHeight="1" x14ac:dyDescent="0.2">
      <c r="A905" s="8"/>
      <c r="B905" s="9"/>
      <c r="C905" s="8"/>
      <c r="D905" s="9"/>
      <c r="E905" s="9"/>
      <c r="F905" s="9"/>
      <c r="G905" s="9"/>
      <c r="H905" s="8"/>
      <c r="I905" s="9"/>
      <c r="J905" s="9"/>
      <c r="K905" s="9"/>
      <c r="L905" s="9"/>
    </row>
    <row r="906" spans="1:12" ht="15" customHeight="1" x14ac:dyDescent="0.2">
      <c r="A906" s="2"/>
      <c r="B906" s="3"/>
      <c r="C906" s="2"/>
      <c r="D906" s="3"/>
      <c r="E906" s="3"/>
      <c r="F906" s="3"/>
      <c r="G906" s="3"/>
      <c r="H906" s="2"/>
      <c r="I906" s="3"/>
      <c r="J906" s="3"/>
      <c r="K906" s="3"/>
      <c r="L906" s="3"/>
    </row>
    <row r="907" spans="1:12" ht="15" customHeight="1" x14ac:dyDescent="0.2">
      <c r="A907" s="8"/>
      <c r="B907" s="9"/>
      <c r="C907" s="8"/>
      <c r="D907" s="9"/>
      <c r="E907" s="9"/>
      <c r="F907" s="9"/>
      <c r="G907" s="9"/>
      <c r="H907" s="8"/>
      <c r="I907" s="9"/>
      <c r="J907" s="9"/>
      <c r="K907" s="9"/>
      <c r="L907" s="9"/>
    </row>
    <row r="908" spans="1:12" ht="15" customHeight="1" x14ac:dyDescent="0.2">
      <c r="A908" s="2"/>
      <c r="B908" s="3"/>
      <c r="C908" s="2"/>
      <c r="D908" s="3"/>
      <c r="E908" s="3"/>
      <c r="F908" s="3"/>
      <c r="G908" s="3"/>
      <c r="H908" s="2"/>
      <c r="I908" s="3"/>
      <c r="J908" s="3"/>
      <c r="K908" s="3"/>
      <c r="L908" s="3"/>
    </row>
    <row r="909" spans="1:12" ht="15" customHeight="1" x14ac:dyDescent="0.2">
      <c r="A909" s="8"/>
      <c r="B909" s="9"/>
      <c r="C909" s="8"/>
      <c r="D909" s="9"/>
      <c r="E909" s="9"/>
      <c r="F909" s="9"/>
      <c r="G909" s="9"/>
      <c r="H909" s="8"/>
      <c r="I909" s="9"/>
      <c r="J909" s="9"/>
      <c r="K909" s="9"/>
      <c r="L909" s="9"/>
    </row>
    <row r="910" spans="1:12" ht="15" customHeight="1" x14ac:dyDescent="0.2">
      <c r="A910" s="2"/>
      <c r="B910" s="3"/>
      <c r="C910" s="2"/>
      <c r="D910" s="3"/>
      <c r="E910" s="3"/>
      <c r="F910" s="3"/>
      <c r="G910" s="3"/>
      <c r="H910" s="2"/>
      <c r="I910" s="3"/>
      <c r="J910" s="3"/>
      <c r="K910" s="3"/>
      <c r="L910" s="3"/>
    </row>
    <row r="911" spans="1:12" ht="15" customHeight="1" x14ac:dyDescent="0.2">
      <c r="A911" s="8"/>
      <c r="B911" s="9"/>
      <c r="C911" s="8"/>
      <c r="D911" s="9"/>
      <c r="E911" s="9"/>
      <c r="F911" s="9"/>
      <c r="G911" s="9"/>
      <c r="H911" s="8"/>
      <c r="I911" s="9"/>
      <c r="J911" s="9"/>
      <c r="K911" s="9"/>
      <c r="L911" s="9"/>
    </row>
    <row r="912" spans="1:12" ht="15" customHeight="1" x14ac:dyDescent="0.2">
      <c r="A912" s="2"/>
      <c r="B912" s="3"/>
      <c r="C912" s="2"/>
      <c r="D912" s="3"/>
      <c r="E912" s="3"/>
      <c r="F912" s="3"/>
      <c r="G912" s="3"/>
      <c r="H912" s="2"/>
      <c r="I912" s="3"/>
      <c r="J912" s="3"/>
      <c r="K912" s="3"/>
      <c r="L912" s="3"/>
    </row>
    <row r="913" spans="1:12" ht="15" customHeight="1" x14ac:dyDescent="0.2">
      <c r="A913" s="8"/>
      <c r="B913" s="9"/>
      <c r="C913" s="8"/>
      <c r="D913" s="9"/>
      <c r="E913" s="9"/>
      <c r="F913" s="9"/>
      <c r="G913" s="9"/>
      <c r="H913" s="8"/>
      <c r="I913" s="9"/>
      <c r="J913" s="9"/>
      <c r="K913" s="9"/>
      <c r="L913" s="9"/>
    </row>
    <row r="914" spans="1:12" ht="15" customHeight="1" x14ac:dyDescent="0.2">
      <c r="A914" s="2"/>
      <c r="B914" s="3"/>
      <c r="C914" s="2"/>
      <c r="D914" s="3"/>
      <c r="E914" s="3"/>
      <c r="F914" s="3"/>
      <c r="G914" s="3"/>
      <c r="H914" s="2"/>
      <c r="I914" s="3"/>
      <c r="J914" s="3"/>
      <c r="K914" s="3"/>
      <c r="L914" s="3"/>
    </row>
    <row r="915" spans="1:12" ht="15" customHeight="1" x14ac:dyDescent="0.2">
      <c r="A915" s="8"/>
      <c r="B915" s="9"/>
      <c r="C915" s="8"/>
      <c r="D915" s="9"/>
      <c r="E915" s="9"/>
      <c r="F915" s="9"/>
      <c r="G915" s="9"/>
      <c r="H915" s="8"/>
      <c r="I915" s="9"/>
      <c r="J915" s="9"/>
      <c r="K915" s="9"/>
      <c r="L915" s="9"/>
    </row>
    <row r="916" spans="1:12" ht="15" customHeight="1" x14ac:dyDescent="0.2">
      <c r="A916" s="2"/>
      <c r="B916" s="3"/>
      <c r="C916" s="2"/>
      <c r="D916" s="3"/>
      <c r="E916" s="3"/>
      <c r="F916" s="3"/>
      <c r="G916" s="3"/>
      <c r="H916" s="2"/>
      <c r="I916" s="3"/>
      <c r="J916" s="3"/>
      <c r="K916" s="3"/>
      <c r="L916" s="3"/>
    </row>
    <row r="917" spans="1:12" ht="15" customHeight="1" x14ac:dyDescent="0.2">
      <c r="A917" s="8"/>
      <c r="B917" s="9"/>
      <c r="C917" s="8"/>
      <c r="D917" s="9"/>
      <c r="E917" s="9"/>
      <c r="F917" s="9"/>
      <c r="G917" s="9"/>
      <c r="H917" s="8"/>
      <c r="I917" s="9"/>
      <c r="J917" s="9"/>
      <c r="K917" s="9"/>
      <c r="L917" s="9"/>
    </row>
    <row r="918" spans="1:12" ht="15" customHeight="1" x14ac:dyDescent="0.2">
      <c r="A918" s="2"/>
      <c r="B918" s="3"/>
      <c r="C918" s="2"/>
      <c r="D918" s="3"/>
      <c r="E918" s="3"/>
      <c r="F918" s="3"/>
      <c r="G918" s="3"/>
      <c r="H918" s="2"/>
      <c r="I918" s="3"/>
      <c r="J918" s="3"/>
      <c r="K918" s="3"/>
      <c r="L918" s="3"/>
    </row>
    <row r="919" spans="1:12" ht="15" customHeight="1" x14ac:dyDescent="0.2">
      <c r="A919" s="8"/>
      <c r="B919" s="9"/>
      <c r="C919" s="8"/>
      <c r="D919" s="9"/>
      <c r="E919" s="9"/>
      <c r="F919" s="9"/>
      <c r="G919" s="9"/>
      <c r="H919" s="8"/>
      <c r="I919" s="9"/>
      <c r="J919" s="9"/>
      <c r="K919" s="9"/>
      <c r="L919" s="9"/>
    </row>
    <row r="920" spans="1:12" ht="15" customHeight="1" x14ac:dyDescent="0.2">
      <c r="A920" s="2"/>
      <c r="B920" s="3"/>
      <c r="C920" s="2"/>
      <c r="D920" s="3"/>
      <c r="E920" s="3"/>
      <c r="F920" s="3"/>
      <c r="G920" s="3"/>
      <c r="H920" s="2"/>
      <c r="I920" s="3"/>
      <c r="J920" s="3"/>
      <c r="K920" s="3"/>
      <c r="L920" s="3"/>
    </row>
    <row r="921" spans="1:12" ht="15" customHeight="1" x14ac:dyDescent="0.2">
      <c r="A921" s="8"/>
      <c r="B921" s="9"/>
      <c r="C921" s="8"/>
      <c r="D921" s="9"/>
      <c r="E921" s="9"/>
      <c r="F921" s="9"/>
      <c r="G921" s="9"/>
      <c r="H921" s="8"/>
      <c r="I921" s="9"/>
      <c r="J921" s="9"/>
      <c r="K921" s="9"/>
      <c r="L921" s="9"/>
    </row>
    <row r="922" spans="1:12" ht="15" customHeight="1" x14ac:dyDescent="0.2">
      <c r="A922" s="2"/>
      <c r="B922" s="3"/>
      <c r="C922" s="2"/>
      <c r="D922" s="3"/>
      <c r="E922" s="3"/>
      <c r="F922" s="3"/>
      <c r="G922" s="3"/>
      <c r="H922" s="2"/>
      <c r="I922" s="3"/>
      <c r="J922" s="3"/>
      <c r="K922" s="3"/>
      <c r="L922" s="3"/>
    </row>
    <row r="923" spans="1:12" ht="15" customHeight="1" x14ac:dyDescent="0.2">
      <c r="A923" s="8"/>
      <c r="B923" s="9"/>
      <c r="C923" s="8"/>
      <c r="D923" s="9"/>
      <c r="E923" s="9"/>
      <c r="F923" s="9"/>
      <c r="G923" s="9"/>
      <c r="H923" s="8"/>
      <c r="I923" s="9"/>
      <c r="J923" s="9"/>
      <c r="K923" s="9"/>
      <c r="L923" s="9"/>
    </row>
    <row r="924" spans="1:12" ht="15" customHeight="1" x14ac:dyDescent="0.2">
      <c r="A924" s="2"/>
      <c r="B924" s="3"/>
      <c r="C924" s="2"/>
      <c r="D924" s="3"/>
      <c r="E924" s="3"/>
      <c r="F924" s="3"/>
      <c r="G924" s="3"/>
      <c r="H924" s="2"/>
      <c r="I924" s="3"/>
      <c r="J924" s="3"/>
      <c r="K924" s="3"/>
      <c r="L924" s="3"/>
    </row>
    <row r="925" spans="1:12" ht="15" customHeight="1" x14ac:dyDescent="0.2">
      <c r="A925" s="8"/>
      <c r="B925" s="9"/>
      <c r="C925" s="8"/>
      <c r="D925" s="9"/>
      <c r="E925" s="9"/>
      <c r="F925" s="9"/>
      <c r="G925" s="9"/>
      <c r="H925" s="8"/>
      <c r="I925" s="9"/>
      <c r="J925" s="9"/>
      <c r="K925" s="9"/>
      <c r="L925" s="9"/>
    </row>
    <row r="926" spans="1:12" ht="15" customHeight="1" x14ac:dyDescent="0.2">
      <c r="A926" s="2"/>
      <c r="B926" s="3"/>
      <c r="C926" s="2"/>
      <c r="D926" s="3"/>
      <c r="E926" s="3"/>
      <c r="F926" s="3"/>
      <c r="G926" s="3"/>
      <c r="H926" s="2"/>
      <c r="I926" s="3"/>
      <c r="J926" s="3"/>
      <c r="K926" s="3"/>
      <c r="L926" s="3"/>
    </row>
    <row r="927" spans="1:12" ht="15" customHeight="1" x14ac:dyDescent="0.2">
      <c r="A927" s="8"/>
      <c r="B927" s="9"/>
      <c r="C927" s="8"/>
      <c r="D927" s="9"/>
      <c r="E927" s="9"/>
      <c r="F927" s="9"/>
      <c r="G927" s="9"/>
      <c r="H927" s="8"/>
      <c r="I927" s="9"/>
      <c r="J927" s="9"/>
      <c r="K927" s="9"/>
      <c r="L927" s="9"/>
    </row>
    <row r="928" spans="1:12" ht="15" customHeight="1" x14ac:dyDescent="0.2">
      <c r="A928" s="2"/>
      <c r="B928" s="3"/>
      <c r="C928" s="2"/>
      <c r="D928" s="3"/>
      <c r="E928" s="3"/>
      <c r="F928" s="3"/>
      <c r="G928" s="3"/>
      <c r="H928" s="2"/>
      <c r="I928" s="3"/>
      <c r="J928" s="3"/>
      <c r="K928" s="3"/>
      <c r="L928" s="3"/>
    </row>
    <row r="929" spans="1:12" ht="15" customHeight="1" x14ac:dyDescent="0.2">
      <c r="A929" s="8"/>
      <c r="B929" s="9"/>
      <c r="C929" s="8"/>
      <c r="D929" s="9"/>
      <c r="E929" s="9"/>
      <c r="F929" s="9"/>
      <c r="G929" s="9"/>
      <c r="H929" s="8"/>
      <c r="I929" s="9"/>
      <c r="J929" s="9"/>
      <c r="K929" s="9"/>
      <c r="L929" s="9"/>
    </row>
    <row r="930" spans="1:12" ht="15" customHeight="1" x14ac:dyDescent="0.2">
      <c r="A930" s="2"/>
      <c r="B930" s="3"/>
      <c r="C930" s="2"/>
      <c r="D930" s="3"/>
      <c r="E930" s="3"/>
      <c r="F930" s="3"/>
      <c r="G930" s="3"/>
      <c r="H930" s="2"/>
      <c r="I930" s="3"/>
      <c r="J930" s="3"/>
      <c r="K930" s="3"/>
      <c r="L930" s="3"/>
    </row>
    <row r="931" spans="1:12" ht="15" customHeight="1" x14ac:dyDescent="0.2">
      <c r="A931" s="8"/>
      <c r="B931" s="9"/>
      <c r="C931" s="8"/>
      <c r="D931" s="9"/>
      <c r="E931" s="9"/>
      <c r="F931" s="9"/>
      <c r="G931" s="9"/>
      <c r="H931" s="8"/>
      <c r="I931" s="9"/>
      <c r="J931" s="9"/>
      <c r="K931" s="9"/>
      <c r="L931" s="9"/>
    </row>
    <row r="932" spans="1:12" ht="15" customHeight="1" x14ac:dyDescent="0.2">
      <c r="A932" s="2"/>
      <c r="B932" s="3"/>
      <c r="C932" s="2"/>
      <c r="D932" s="3"/>
      <c r="E932" s="3"/>
      <c r="F932" s="3"/>
      <c r="G932" s="3"/>
      <c r="H932" s="2"/>
      <c r="I932" s="3"/>
      <c r="J932" s="3"/>
      <c r="K932" s="3"/>
      <c r="L932" s="3"/>
    </row>
    <row r="933" spans="1:12" ht="15" customHeight="1" x14ac:dyDescent="0.2">
      <c r="A933" s="8"/>
      <c r="B933" s="9"/>
      <c r="C933" s="8"/>
      <c r="D933" s="9"/>
      <c r="E933" s="9"/>
      <c r="F933" s="9"/>
      <c r="G933" s="9"/>
      <c r="H933" s="8"/>
      <c r="I933" s="9"/>
      <c r="J933" s="9"/>
      <c r="K933" s="9"/>
      <c r="L933" s="9"/>
    </row>
    <row r="934" spans="1:12" ht="15" customHeight="1" x14ac:dyDescent="0.2">
      <c r="A934" s="2"/>
      <c r="B934" s="3"/>
      <c r="C934" s="2"/>
      <c r="D934" s="3"/>
      <c r="E934" s="3"/>
      <c r="F934" s="3"/>
      <c r="G934" s="3"/>
      <c r="H934" s="2"/>
      <c r="I934" s="3"/>
      <c r="J934" s="3"/>
      <c r="K934" s="3"/>
      <c r="L934" s="3"/>
    </row>
    <row r="935" spans="1:12" ht="15" customHeight="1" x14ac:dyDescent="0.2">
      <c r="A935" s="8"/>
      <c r="B935" s="9"/>
      <c r="C935" s="8"/>
      <c r="D935" s="9"/>
      <c r="E935" s="9"/>
      <c r="F935" s="9"/>
      <c r="G935" s="9"/>
      <c r="H935" s="8"/>
      <c r="I935" s="9"/>
      <c r="J935" s="9"/>
      <c r="K935" s="9"/>
      <c r="L935" s="9"/>
    </row>
    <row r="936" spans="1:12" ht="15" customHeight="1" x14ac:dyDescent="0.2">
      <c r="A936" s="2"/>
      <c r="B936" s="3"/>
      <c r="C936" s="2"/>
      <c r="D936" s="3"/>
      <c r="E936" s="3"/>
      <c r="F936" s="3"/>
      <c r="G936" s="3"/>
      <c r="H936" s="2"/>
      <c r="I936" s="3"/>
      <c r="J936" s="3"/>
      <c r="K936" s="3"/>
      <c r="L936" s="3"/>
    </row>
    <row r="937" spans="1:12" ht="15" customHeight="1" x14ac:dyDescent="0.2">
      <c r="A937" s="8"/>
      <c r="B937" s="9"/>
      <c r="C937" s="8"/>
      <c r="D937" s="9"/>
      <c r="E937" s="9"/>
      <c r="F937" s="9"/>
      <c r="G937" s="9"/>
      <c r="H937" s="8"/>
      <c r="I937" s="9"/>
      <c r="J937" s="9"/>
      <c r="K937" s="9"/>
      <c r="L937" s="9"/>
    </row>
    <row r="938" spans="1:12" ht="15" customHeight="1" x14ac:dyDescent="0.2">
      <c r="A938" s="2"/>
      <c r="B938" s="3"/>
      <c r="C938" s="2"/>
      <c r="D938" s="3"/>
      <c r="E938" s="3"/>
      <c r="F938" s="3"/>
      <c r="G938" s="3"/>
      <c r="H938" s="2"/>
      <c r="I938" s="3"/>
      <c r="J938" s="3"/>
      <c r="K938" s="3"/>
      <c r="L938" s="3"/>
    </row>
    <row r="939" spans="1:12" ht="15" customHeight="1" x14ac:dyDescent="0.2">
      <c r="A939" s="8"/>
      <c r="B939" s="9"/>
      <c r="C939" s="8"/>
      <c r="D939" s="9"/>
      <c r="E939" s="9"/>
      <c r="F939" s="9"/>
      <c r="G939" s="9"/>
      <c r="H939" s="8"/>
      <c r="I939" s="9"/>
      <c r="J939" s="9"/>
      <c r="K939" s="9"/>
      <c r="L939" s="9"/>
    </row>
    <row r="940" spans="1:12" ht="15" customHeight="1" x14ac:dyDescent="0.2">
      <c r="A940" s="2"/>
      <c r="B940" s="3"/>
      <c r="C940" s="2"/>
      <c r="D940" s="3"/>
      <c r="E940" s="3"/>
      <c r="F940" s="3"/>
      <c r="G940" s="3"/>
      <c r="H940" s="2"/>
      <c r="I940" s="3"/>
      <c r="J940" s="3"/>
      <c r="K940" s="3"/>
      <c r="L940" s="3"/>
    </row>
    <row r="941" spans="1:12" ht="15" customHeight="1" x14ac:dyDescent="0.2">
      <c r="A941" s="8"/>
      <c r="B941" s="9"/>
      <c r="C941" s="8"/>
      <c r="D941" s="9"/>
      <c r="E941" s="9"/>
      <c r="F941" s="9"/>
      <c r="G941" s="9"/>
      <c r="H941" s="8"/>
      <c r="I941" s="9"/>
      <c r="J941" s="9"/>
      <c r="K941" s="9"/>
      <c r="L941" s="9"/>
    </row>
    <row r="942" spans="1:12" ht="15" customHeight="1" x14ac:dyDescent="0.2">
      <c r="A942" s="2"/>
      <c r="B942" s="3"/>
      <c r="C942" s="2"/>
      <c r="D942" s="3"/>
      <c r="E942" s="3"/>
      <c r="F942" s="3"/>
      <c r="G942" s="3"/>
      <c r="H942" s="2"/>
      <c r="I942" s="3"/>
      <c r="J942" s="3"/>
      <c r="K942" s="3"/>
      <c r="L942" s="3"/>
    </row>
    <row r="943" spans="1:12" ht="15" customHeight="1" x14ac:dyDescent="0.2">
      <c r="A943" s="8"/>
      <c r="B943" s="9"/>
      <c r="C943" s="8"/>
      <c r="D943" s="9"/>
      <c r="E943" s="9"/>
      <c r="F943" s="9"/>
      <c r="G943" s="9"/>
      <c r="H943" s="8"/>
      <c r="I943" s="9"/>
      <c r="J943" s="9"/>
      <c r="K943" s="9"/>
      <c r="L943" s="9"/>
    </row>
    <row r="944" spans="1:12" ht="15" customHeight="1" x14ac:dyDescent="0.2">
      <c r="A944" s="2"/>
      <c r="B944" s="3"/>
      <c r="C944" s="2"/>
      <c r="D944" s="3"/>
      <c r="E944" s="3"/>
      <c r="F944" s="3"/>
      <c r="G944" s="3"/>
      <c r="H944" s="2"/>
      <c r="I944" s="3"/>
      <c r="J944" s="3"/>
      <c r="K944" s="3"/>
      <c r="L944" s="3"/>
    </row>
    <row r="945" spans="1:12" ht="15" customHeight="1" x14ac:dyDescent="0.2">
      <c r="A945" s="8"/>
      <c r="B945" s="9"/>
      <c r="C945" s="8"/>
      <c r="D945" s="9"/>
      <c r="E945" s="9"/>
      <c r="F945" s="9"/>
      <c r="G945" s="9"/>
      <c r="H945" s="8"/>
      <c r="I945" s="9"/>
      <c r="J945" s="9"/>
      <c r="K945" s="9"/>
      <c r="L945" s="9"/>
    </row>
    <row r="946" spans="1:12" ht="15" customHeight="1" x14ac:dyDescent="0.2">
      <c r="A946" s="2"/>
      <c r="B946" s="3"/>
      <c r="C946" s="2"/>
      <c r="D946" s="3"/>
      <c r="E946" s="3"/>
      <c r="F946" s="3"/>
      <c r="G946" s="3"/>
      <c r="H946" s="2"/>
      <c r="I946" s="3"/>
      <c r="J946" s="3"/>
      <c r="K946" s="3"/>
      <c r="L946" s="3"/>
    </row>
    <row r="947" spans="1:12" ht="15" customHeight="1" x14ac:dyDescent="0.2">
      <c r="A947" s="8"/>
      <c r="B947" s="9"/>
      <c r="C947" s="8"/>
      <c r="D947" s="9"/>
      <c r="E947" s="9"/>
      <c r="F947" s="9"/>
      <c r="G947" s="9"/>
      <c r="H947" s="8"/>
      <c r="I947" s="9"/>
      <c r="J947" s="9"/>
      <c r="K947" s="9"/>
      <c r="L947" s="9"/>
    </row>
    <row r="948" spans="1:12" ht="15" customHeight="1" x14ac:dyDescent="0.2">
      <c r="A948" s="2"/>
      <c r="B948" s="3"/>
      <c r="C948" s="2"/>
      <c r="D948" s="3"/>
      <c r="E948" s="3"/>
      <c r="F948" s="3"/>
      <c r="G948" s="3"/>
      <c r="H948" s="2"/>
      <c r="I948" s="3"/>
      <c r="J948" s="3"/>
      <c r="K948" s="3"/>
      <c r="L948" s="3"/>
    </row>
    <row r="949" spans="1:12" ht="15" customHeight="1" x14ac:dyDescent="0.2">
      <c r="A949" s="8"/>
      <c r="B949" s="9"/>
      <c r="C949" s="8"/>
      <c r="D949" s="9"/>
      <c r="E949" s="9"/>
      <c r="F949" s="9"/>
      <c r="G949" s="9"/>
      <c r="H949" s="8"/>
      <c r="I949" s="9"/>
      <c r="J949" s="9"/>
      <c r="K949" s="9"/>
      <c r="L949" s="9"/>
    </row>
    <row r="950" spans="1:12" ht="15" customHeight="1" x14ac:dyDescent="0.2">
      <c r="A950" s="2"/>
      <c r="B950" s="3"/>
      <c r="C950" s="2"/>
      <c r="D950" s="3"/>
      <c r="E950" s="3"/>
      <c r="F950" s="3"/>
      <c r="G950" s="3"/>
      <c r="H950" s="2"/>
      <c r="I950" s="3"/>
      <c r="J950" s="3"/>
      <c r="K950" s="3"/>
      <c r="L950" s="3"/>
    </row>
    <row r="951" spans="1:12" ht="15" customHeight="1" x14ac:dyDescent="0.2">
      <c r="A951" s="8"/>
      <c r="B951" s="9"/>
      <c r="C951" s="8"/>
      <c r="D951" s="9"/>
      <c r="E951" s="9"/>
      <c r="F951" s="9"/>
      <c r="G951" s="9"/>
      <c r="H951" s="8"/>
      <c r="I951" s="9"/>
      <c r="J951" s="9"/>
      <c r="K951" s="9"/>
      <c r="L951" s="9"/>
    </row>
    <row r="952" spans="1:12" ht="15" customHeight="1" x14ac:dyDescent="0.2">
      <c r="A952" s="2"/>
      <c r="B952" s="3"/>
      <c r="C952" s="2"/>
      <c r="D952" s="3"/>
      <c r="E952" s="3"/>
      <c r="F952" s="3"/>
      <c r="G952" s="3"/>
      <c r="H952" s="2"/>
      <c r="I952" s="3"/>
      <c r="J952" s="3"/>
      <c r="K952" s="3"/>
      <c r="L952" s="3"/>
    </row>
    <row r="953" spans="1:12" ht="15" customHeight="1" x14ac:dyDescent="0.2">
      <c r="A953" s="8"/>
      <c r="B953" s="9"/>
      <c r="C953" s="8"/>
      <c r="D953" s="9"/>
      <c r="E953" s="9"/>
      <c r="F953" s="9"/>
      <c r="G953" s="9"/>
      <c r="H953" s="8"/>
      <c r="I953" s="9"/>
      <c r="J953" s="9"/>
      <c r="K953" s="9"/>
      <c r="L953" s="9"/>
    </row>
    <row r="954" spans="1:12" ht="15" customHeight="1" x14ac:dyDescent="0.2">
      <c r="A954" s="2"/>
      <c r="B954" s="3"/>
      <c r="C954" s="2"/>
      <c r="D954" s="3"/>
      <c r="E954" s="3"/>
      <c r="F954" s="3"/>
      <c r="G954" s="3"/>
      <c r="H954" s="2"/>
      <c r="I954" s="3"/>
      <c r="J954" s="3"/>
      <c r="K954" s="3"/>
      <c r="L954" s="3"/>
    </row>
    <row r="955" spans="1:12" ht="15" customHeight="1" x14ac:dyDescent="0.2">
      <c r="A955" s="8"/>
      <c r="B955" s="9"/>
      <c r="C955" s="8"/>
      <c r="D955" s="9"/>
      <c r="E955" s="9"/>
      <c r="F955" s="9"/>
      <c r="G955" s="9"/>
      <c r="H955" s="8"/>
      <c r="I955" s="9"/>
      <c r="J955" s="9"/>
      <c r="K955" s="9"/>
      <c r="L955" s="9"/>
    </row>
    <row r="956" spans="1:12" ht="15" customHeight="1" x14ac:dyDescent="0.2">
      <c r="A956" s="2"/>
      <c r="B956" s="3"/>
      <c r="C956" s="2"/>
      <c r="D956" s="3"/>
      <c r="E956" s="3"/>
      <c r="F956" s="3"/>
      <c r="G956" s="3"/>
      <c r="H956" s="2"/>
      <c r="I956" s="3"/>
      <c r="J956" s="3"/>
      <c r="K956" s="3"/>
      <c r="L956" s="3"/>
    </row>
    <row r="957" spans="1:12" ht="15" customHeight="1" x14ac:dyDescent="0.2">
      <c r="A957" s="8"/>
      <c r="B957" s="9"/>
      <c r="C957" s="8"/>
      <c r="D957" s="9"/>
      <c r="E957" s="9"/>
      <c r="F957" s="9"/>
      <c r="G957" s="9"/>
      <c r="H957" s="8"/>
      <c r="I957" s="9"/>
      <c r="J957" s="9"/>
      <c r="K957" s="9"/>
      <c r="L957" s="9"/>
    </row>
    <row r="958" spans="1:12" ht="15" customHeight="1" x14ac:dyDescent="0.2">
      <c r="A958" s="2"/>
      <c r="B958" s="3"/>
      <c r="C958" s="2"/>
      <c r="D958" s="3"/>
      <c r="E958" s="3"/>
      <c r="F958" s="3"/>
      <c r="G958" s="3"/>
      <c r="H958" s="2"/>
      <c r="I958" s="3"/>
      <c r="J958" s="3"/>
      <c r="K958" s="3"/>
      <c r="L958" s="3"/>
    </row>
    <row r="959" spans="1:12" ht="15" customHeight="1" x14ac:dyDescent="0.2">
      <c r="A959" s="8"/>
      <c r="B959" s="9"/>
      <c r="C959" s="8"/>
      <c r="D959" s="9"/>
      <c r="E959" s="9"/>
      <c r="F959" s="9"/>
      <c r="G959" s="9"/>
      <c r="H959" s="8"/>
      <c r="I959" s="9"/>
      <c r="J959" s="9"/>
      <c r="K959" s="9"/>
      <c r="L959" s="9"/>
    </row>
    <row r="960" spans="1:12" ht="15" customHeight="1" x14ac:dyDescent="0.2">
      <c r="A960" s="2"/>
      <c r="B960" s="3"/>
      <c r="C960" s="2"/>
      <c r="D960" s="3"/>
      <c r="E960" s="3"/>
      <c r="F960" s="3"/>
      <c r="G960" s="3"/>
      <c r="H960" s="2"/>
      <c r="I960" s="3"/>
      <c r="J960" s="3"/>
      <c r="K960" s="3"/>
      <c r="L960" s="3"/>
    </row>
    <row r="961" spans="1:12" ht="15" customHeight="1" x14ac:dyDescent="0.2">
      <c r="A961" s="8"/>
      <c r="B961" s="9"/>
      <c r="C961" s="8"/>
      <c r="D961" s="9"/>
      <c r="E961" s="9"/>
      <c r="F961" s="9"/>
      <c r="G961" s="9"/>
      <c r="H961" s="8"/>
      <c r="I961" s="9"/>
      <c r="J961" s="9"/>
      <c r="K961" s="9"/>
      <c r="L961" s="9"/>
    </row>
    <row r="962" spans="1:12" ht="15" customHeight="1" x14ac:dyDescent="0.2">
      <c r="A962" s="2"/>
      <c r="B962" s="3"/>
      <c r="C962" s="2"/>
      <c r="D962" s="3"/>
      <c r="E962" s="3"/>
      <c r="F962" s="3"/>
      <c r="G962" s="3"/>
      <c r="H962" s="2"/>
      <c r="I962" s="3"/>
      <c r="J962" s="3"/>
      <c r="K962" s="3"/>
      <c r="L962" s="3"/>
    </row>
    <row r="963" spans="1:12" ht="15" customHeight="1" x14ac:dyDescent="0.2">
      <c r="A963" s="8"/>
      <c r="B963" s="9"/>
      <c r="C963" s="8"/>
      <c r="D963" s="9"/>
      <c r="E963" s="9"/>
      <c r="F963" s="9"/>
      <c r="G963" s="9"/>
      <c r="H963" s="8"/>
      <c r="I963" s="9"/>
      <c r="J963" s="9"/>
      <c r="K963" s="9"/>
      <c r="L963" s="9"/>
    </row>
    <row r="964" spans="1:12" ht="15" customHeight="1" x14ac:dyDescent="0.2">
      <c r="A964" s="2"/>
      <c r="B964" s="3"/>
      <c r="C964" s="2"/>
      <c r="D964" s="3"/>
      <c r="E964" s="3"/>
      <c r="F964" s="3"/>
      <c r="G964" s="3"/>
      <c r="H964" s="2"/>
      <c r="I964" s="3"/>
      <c r="J964" s="3"/>
      <c r="K964" s="3"/>
      <c r="L964" s="3"/>
    </row>
    <row r="965" spans="1:12" ht="15" customHeight="1" x14ac:dyDescent="0.2">
      <c r="A965" s="8"/>
      <c r="B965" s="9"/>
      <c r="C965" s="8"/>
      <c r="D965" s="9"/>
      <c r="E965" s="9"/>
      <c r="F965" s="9"/>
      <c r="G965" s="9"/>
      <c r="H965" s="8"/>
      <c r="I965" s="9"/>
      <c r="J965" s="9"/>
      <c r="K965" s="9"/>
      <c r="L965" s="9"/>
    </row>
    <row r="966" spans="1:12" ht="15" customHeight="1" x14ac:dyDescent="0.2">
      <c r="A966" s="2"/>
      <c r="B966" s="3"/>
      <c r="C966" s="2"/>
      <c r="D966" s="3"/>
      <c r="E966" s="3"/>
      <c r="F966" s="3"/>
      <c r="G966" s="3"/>
      <c r="H966" s="2"/>
      <c r="I966" s="3"/>
      <c r="J966" s="3"/>
      <c r="K966" s="3"/>
      <c r="L966" s="3"/>
    </row>
    <row r="967" spans="1:12" ht="15" customHeight="1" x14ac:dyDescent="0.2">
      <c r="A967" s="8"/>
      <c r="B967" s="9"/>
      <c r="C967" s="8"/>
      <c r="D967" s="9"/>
      <c r="E967" s="9"/>
      <c r="F967" s="9"/>
      <c r="G967" s="9"/>
      <c r="H967" s="8"/>
      <c r="I967" s="9"/>
      <c r="J967" s="9"/>
      <c r="K967" s="9"/>
      <c r="L967" s="9"/>
    </row>
    <row r="968" spans="1:12" ht="15" customHeight="1" x14ac:dyDescent="0.2">
      <c r="A968" s="2"/>
      <c r="B968" s="3"/>
      <c r="C968" s="2"/>
      <c r="D968" s="3"/>
      <c r="E968" s="3"/>
      <c r="F968" s="3"/>
      <c r="G968" s="3"/>
      <c r="H968" s="2"/>
      <c r="I968" s="3"/>
      <c r="J968" s="3"/>
      <c r="K968" s="3"/>
      <c r="L968" s="3"/>
    </row>
    <row r="969" spans="1:12" ht="15" customHeight="1" x14ac:dyDescent="0.2">
      <c r="A969" s="8"/>
      <c r="B969" s="9"/>
      <c r="C969" s="8"/>
      <c r="D969" s="9"/>
      <c r="E969" s="9"/>
      <c r="F969" s="9"/>
      <c r="G969" s="9"/>
      <c r="H969" s="8"/>
      <c r="I969" s="9"/>
      <c r="J969" s="9"/>
      <c r="K969" s="9"/>
      <c r="L969" s="9"/>
    </row>
    <row r="970" spans="1:12" ht="15" customHeight="1" x14ac:dyDescent="0.2">
      <c r="A970" s="2"/>
      <c r="B970" s="3"/>
      <c r="C970" s="2"/>
      <c r="D970" s="3"/>
      <c r="E970" s="3"/>
      <c r="F970" s="3"/>
      <c r="G970" s="3"/>
      <c r="H970" s="2"/>
      <c r="I970" s="3"/>
      <c r="J970" s="3"/>
      <c r="K970" s="3"/>
      <c r="L970" s="3"/>
    </row>
    <row r="971" spans="1:12" ht="15" customHeight="1" x14ac:dyDescent="0.2">
      <c r="A971" s="8"/>
      <c r="B971" s="9"/>
      <c r="C971" s="8"/>
      <c r="D971" s="9"/>
      <c r="E971" s="9"/>
      <c r="F971" s="9"/>
      <c r="G971" s="9"/>
      <c r="H971" s="8"/>
      <c r="I971" s="9"/>
      <c r="J971" s="9"/>
      <c r="K971" s="9"/>
      <c r="L971" s="9"/>
    </row>
    <row r="972" spans="1:12" ht="15" customHeight="1" x14ac:dyDescent="0.2">
      <c r="A972" s="2"/>
      <c r="B972" s="3"/>
      <c r="C972" s="2"/>
      <c r="D972" s="3"/>
      <c r="E972" s="3"/>
      <c r="F972" s="3"/>
      <c r="G972" s="3"/>
      <c r="H972" s="2"/>
      <c r="I972" s="3"/>
      <c r="J972" s="3"/>
      <c r="K972" s="3"/>
      <c r="L972" s="3"/>
    </row>
    <row r="973" spans="1:12" ht="15" customHeight="1" x14ac:dyDescent="0.2">
      <c r="A973" s="8"/>
      <c r="B973" s="9"/>
      <c r="C973" s="8"/>
      <c r="D973" s="9"/>
      <c r="E973" s="9"/>
      <c r="F973" s="9"/>
      <c r="G973" s="9"/>
      <c r="H973" s="8"/>
      <c r="I973" s="9"/>
      <c r="J973" s="9"/>
      <c r="K973" s="9"/>
      <c r="L973" s="9"/>
    </row>
    <row r="974" spans="1:12" ht="15" customHeight="1" x14ac:dyDescent="0.2">
      <c r="A974" s="2"/>
      <c r="B974" s="3"/>
      <c r="C974" s="2"/>
      <c r="D974" s="3"/>
      <c r="E974" s="3"/>
      <c r="F974" s="3"/>
      <c r="G974" s="3"/>
      <c r="H974" s="2"/>
      <c r="I974" s="3"/>
      <c r="J974" s="3"/>
      <c r="K974" s="3"/>
      <c r="L974" s="3"/>
    </row>
    <row r="975" spans="1:12" ht="15" customHeight="1" x14ac:dyDescent="0.2">
      <c r="A975" s="8"/>
      <c r="B975" s="9"/>
      <c r="C975" s="8"/>
      <c r="D975" s="9"/>
      <c r="E975" s="9"/>
      <c r="F975" s="9"/>
      <c r="G975" s="9"/>
      <c r="H975" s="8"/>
      <c r="I975" s="9"/>
      <c r="J975" s="9"/>
      <c r="K975" s="9"/>
      <c r="L975" s="9"/>
    </row>
    <row r="976" spans="1:12" ht="15" customHeight="1" x14ac:dyDescent="0.2">
      <c r="A976" s="2"/>
      <c r="B976" s="3"/>
      <c r="C976" s="2"/>
      <c r="D976" s="3"/>
      <c r="E976" s="3"/>
      <c r="F976" s="3"/>
      <c r="G976" s="3"/>
      <c r="H976" s="2"/>
      <c r="I976" s="3"/>
      <c r="J976" s="3"/>
      <c r="K976" s="3"/>
      <c r="L976" s="3"/>
    </row>
    <row r="977" spans="1:12" ht="15" customHeight="1" x14ac:dyDescent="0.2">
      <c r="A977" s="8"/>
      <c r="B977" s="9"/>
      <c r="C977" s="8"/>
      <c r="D977" s="9"/>
      <c r="E977" s="9"/>
      <c r="F977" s="9"/>
      <c r="G977" s="9"/>
      <c r="H977" s="8"/>
      <c r="I977" s="9"/>
      <c r="J977" s="9"/>
      <c r="K977" s="9"/>
      <c r="L977" s="9"/>
    </row>
    <row r="978" spans="1:12" ht="15" customHeight="1" x14ac:dyDescent="0.2">
      <c r="A978" s="2"/>
      <c r="B978" s="3"/>
      <c r="C978" s="2"/>
      <c r="D978" s="3"/>
      <c r="E978" s="3"/>
      <c r="F978" s="3"/>
      <c r="G978" s="3"/>
      <c r="H978" s="2"/>
      <c r="I978" s="3"/>
      <c r="J978" s="3"/>
      <c r="K978" s="3"/>
      <c r="L978" s="3"/>
    </row>
    <row r="979" spans="1:12" ht="15" customHeight="1" x14ac:dyDescent="0.2">
      <c r="A979" s="8"/>
      <c r="B979" s="9"/>
      <c r="C979" s="8"/>
      <c r="D979" s="9"/>
      <c r="E979" s="9"/>
      <c r="F979" s="9"/>
      <c r="G979" s="9"/>
      <c r="H979" s="8"/>
      <c r="I979" s="9"/>
      <c r="J979" s="9"/>
      <c r="K979" s="9"/>
      <c r="L979" s="9"/>
    </row>
    <row r="980" spans="1:12" ht="15" customHeight="1" x14ac:dyDescent="0.2">
      <c r="A980" s="2"/>
      <c r="B980" s="3"/>
      <c r="C980" s="2"/>
      <c r="D980" s="3"/>
      <c r="E980" s="3"/>
      <c r="F980" s="3"/>
      <c r="G980" s="3"/>
      <c r="H980" s="2"/>
      <c r="I980" s="3"/>
      <c r="J980" s="3"/>
      <c r="K980" s="3"/>
      <c r="L980" s="3"/>
    </row>
    <row r="981" spans="1:12" ht="15" customHeight="1" x14ac:dyDescent="0.2">
      <c r="A981" s="8"/>
      <c r="B981" s="9"/>
      <c r="C981" s="8"/>
      <c r="D981" s="9"/>
      <c r="E981" s="9"/>
      <c r="F981" s="9"/>
      <c r="G981" s="9"/>
      <c r="H981" s="8"/>
      <c r="I981" s="9"/>
      <c r="J981" s="9"/>
      <c r="K981" s="9"/>
      <c r="L981" s="9"/>
    </row>
    <row r="982" spans="1:12" ht="15" customHeight="1" x14ac:dyDescent="0.2">
      <c r="A982" s="2"/>
      <c r="B982" s="3"/>
      <c r="C982" s="2"/>
      <c r="D982" s="3"/>
      <c r="E982" s="3"/>
      <c r="F982" s="3"/>
      <c r="G982" s="3"/>
      <c r="H982" s="2"/>
      <c r="I982" s="3"/>
      <c r="J982" s="3"/>
      <c r="K982" s="3"/>
      <c r="L982" s="3"/>
    </row>
    <row r="983" spans="1:12" ht="15" customHeight="1" x14ac:dyDescent="0.2">
      <c r="A983" s="8"/>
      <c r="B983" s="9"/>
      <c r="C983" s="8"/>
      <c r="D983" s="9"/>
      <c r="E983" s="9"/>
      <c r="F983" s="9"/>
      <c r="G983" s="9"/>
      <c r="H983" s="8"/>
      <c r="I983" s="9"/>
      <c r="J983" s="9"/>
      <c r="K983" s="9"/>
      <c r="L983" s="9"/>
    </row>
    <row r="984" spans="1:12" ht="15" customHeight="1" x14ac:dyDescent="0.2">
      <c r="A984" s="2"/>
      <c r="B984" s="3"/>
      <c r="C984" s="2"/>
      <c r="D984" s="3"/>
      <c r="E984" s="3"/>
      <c r="F984" s="3"/>
      <c r="G984" s="3"/>
      <c r="H984" s="2"/>
      <c r="I984" s="3"/>
      <c r="J984" s="3"/>
      <c r="K984" s="3"/>
      <c r="L984" s="3"/>
    </row>
    <row r="985" spans="1:12" ht="15" customHeight="1" x14ac:dyDescent="0.2">
      <c r="A985" s="8"/>
      <c r="B985" s="9"/>
      <c r="C985" s="8"/>
      <c r="D985" s="9"/>
      <c r="E985" s="9"/>
      <c r="F985" s="9"/>
      <c r="G985" s="9"/>
      <c r="H985" s="8"/>
      <c r="I985" s="9"/>
      <c r="J985" s="9"/>
      <c r="K985" s="9"/>
      <c r="L985" s="9"/>
    </row>
    <row r="986" spans="1:12" ht="15" customHeight="1" x14ac:dyDescent="0.2">
      <c r="A986" s="2"/>
      <c r="B986" s="3"/>
      <c r="C986" s="2"/>
      <c r="D986" s="3"/>
      <c r="E986" s="3"/>
      <c r="F986" s="3"/>
      <c r="G986" s="3"/>
      <c r="H986" s="2"/>
      <c r="I986" s="3"/>
      <c r="J986" s="3"/>
      <c r="K986" s="3"/>
      <c r="L986" s="3"/>
    </row>
    <row r="987" spans="1:12" ht="15" customHeight="1" x14ac:dyDescent="0.2">
      <c r="A987" s="8"/>
      <c r="B987" s="9"/>
      <c r="C987" s="8"/>
      <c r="D987" s="9"/>
      <c r="E987" s="9"/>
      <c r="F987" s="9"/>
      <c r="G987" s="9"/>
      <c r="H987" s="8"/>
      <c r="I987" s="9"/>
      <c r="J987" s="9"/>
      <c r="K987" s="9"/>
      <c r="L987" s="9"/>
    </row>
    <row r="988" spans="1:12" ht="15" customHeight="1" x14ac:dyDescent="0.2">
      <c r="A988" s="2"/>
      <c r="B988" s="3"/>
      <c r="C988" s="2"/>
      <c r="D988" s="3"/>
      <c r="E988" s="3"/>
      <c r="F988" s="3"/>
      <c r="G988" s="3"/>
      <c r="H988" s="2"/>
      <c r="I988" s="3"/>
      <c r="J988" s="3"/>
      <c r="K988" s="3"/>
      <c r="L988" s="3"/>
    </row>
    <row r="989" spans="1:12" ht="15" customHeight="1" x14ac:dyDescent="0.2">
      <c r="A989" s="8"/>
      <c r="B989" s="9"/>
      <c r="C989" s="8"/>
      <c r="D989" s="9"/>
      <c r="E989" s="9"/>
      <c r="F989" s="9"/>
      <c r="G989" s="9"/>
      <c r="H989" s="8"/>
      <c r="I989" s="9"/>
      <c r="J989" s="9"/>
      <c r="K989" s="9"/>
      <c r="L989" s="9"/>
    </row>
    <row r="990" spans="1:12" ht="15" customHeight="1" x14ac:dyDescent="0.2">
      <c r="A990" s="2"/>
      <c r="B990" s="3"/>
      <c r="C990" s="2"/>
      <c r="D990" s="3"/>
      <c r="E990" s="3"/>
      <c r="F990" s="3"/>
      <c r="G990" s="3"/>
      <c r="H990" s="2"/>
      <c r="I990" s="3"/>
      <c r="J990" s="3"/>
      <c r="K990" s="3"/>
      <c r="L990" s="3"/>
    </row>
    <row r="991" spans="1:12" ht="15" customHeight="1" x14ac:dyDescent="0.2">
      <c r="A991" s="8"/>
      <c r="B991" s="9"/>
      <c r="C991" s="8"/>
      <c r="D991" s="9"/>
      <c r="E991" s="9"/>
      <c r="F991" s="9"/>
      <c r="G991" s="9"/>
      <c r="H991" s="8"/>
      <c r="I991" s="9"/>
      <c r="J991" s="9"/>
      <c r="K991" s="9"/>
      <c r="L991" s="9"/>
    </row>
    <row r="992" spans="1:12" ht="15" customHeight="1" x14ac:dyDescent="0.2">
      <c r="A992" s="2"/>
      <c r="B992" s="3"/>
      <c r="C992" s="2"/>
      <c r="D992" s="3"/>
      <c r="E992" s="3"/>
      <c r="F992" s="3"/>
      <c r="G992" s="3"/>
      <c r="H992" s="2"/>
      <c r="I992" s="3"/>
      <c r="J992" s="3"/>
      <c r="K992" s="3"/>
      <c r="L992" s="3"/>
    </row>
    <row r="993" spans="1:12" ht="15" customHeight="1" x14ac:dyDescent="0.2">
      <c r="A993" s="8"/>
      <c r="B993" s="9"/>
      <c r="C993" s="8"/>
      <c r="D993" s="9"/>
      <c r="E993" s="9"/>
      <c r="F993" s="9"/>
      <c r="G993" s="9"/>
      <c r="H993" s="8"/>
      <c r="I993" s="9"/>
      <c r="J993" s="9"/>
      <c r="K993" s="9"/>
      <c r="L993" s="9"/>
    </row>
    <row r="994" spans="1:12" ht="15" customHeight="1" x14ac:dyDescent="0.2">
      <c r="A994" s="2"/>
      <c r="B994" s="3"/>
      <c r="C994" s="2"/>
      <c r="D994" s="3"/>
      <c r="E994" s="3"/>
      <c r="F994" s="3"/>
      <c r="G994" s="3"/>
      <c r="H994" s="2"/>
      <c r="I994" s="3"/>
      <c r="J994" s="3"/>
      <c r="K994" s="3"/>
      <c r="L994" s="3"/>
    </row>
    <row r="995" spans="1:12" ht="15" customHeight="1" x14ac:dyDescent="0.2">
      <c r="A995" s="8"/>
      <c r="B995" s="9"/>
      <c r="C995" s="8"/>
      <c r="D995" s="9"/>
      <c r="E995" s="9"/>
      <c r="F995" s="9"/>
      <c r="G995" s="9"/>
      <c r="H995" s="8"/>
      <c r="I995" s="9"/>
      <c r="J995" s="9"/>
      <c r="K995" s="9"/>
      <c r="L995" s="9"/>
    </row>
    <row r="996" spans="1:12" ht="15" customHeight="1" x14ac:dyDescent="0.2">
      <c r="A996" s="2"/>
      <c r="B996" s="3"/>
      <c r="C996" s="2"/>
      <c r="D996" s="3"/>
      <c r="E996" s="3"/>
      <c r="F996" s="3"/>
      <c r="G996" s="3"/>
      <c r="H996" s="2"/>
      <c r="I996" s="3"/>
      <c r="J996" s="3"/>
      <c r="K996" s="3"/>
      <c r="L996" s="3"/>
    </row>
    <row r="997" spans="1:12" ht="15" customHeight="1" x14ac:dyDescent="0.2">
      <c r="A997" s="8"/>
      <c r="B997" s="9"/>
      <c r="C997" s="8"/>
      <c r="D997" s="9"/>
      <c r="E997" s="9"/>
      <c r="F997" s="9"/>
      <c r="G997" s="9"/>
      <c r="H997" s="8"/>
      <c r="I997" s="9"/>
      <c r="J997" s="9"/>
      <c r="K997" s="9"/>
      <c r="L997" s="9"/>
    </row>
    <row r="998" spans="1:12" ht="15" customHeight="1" x14ac:dyDescent="0.2">
      <c r="A998" s="2"/>
      <c r="B998" s="3"/>
      <c r="C998" s="2"/>
      <c r="D998" s="3"/>
      <c r="E998" s="3"/>
      <c r="F998" s="3"/>
      <c r="G998" s="3"/>
      <c r="H998" s="2"/>
      <c r="I998" s="3"/>
      <c r="J998" s="3"/>
      <c r="K998" s="3"/>
      <c r="L998" s="3"/>
    </row>
    <row r="999" spans="1:12" ht="15" customHeight="1" x14ac:dyDescent="0.2">
      <c r="A999" s="8"/>
      <c r="B999" s="9"/>
      <c r="C999" s="8"/>
      <c r="D999" s="9"/>
      <c r="E999" s="9"/>
      <c r="F999" s="9"/>
      <c r="G999" s="9"/>
      <c r="H999" s="8"/>
      <c r="I999" s="9"/>
      <c r="J999" s="9"/>
      <c r="K999" s="9"/>
      <c r="L999" s="9"/>
    </row>
    <row r="1000" spans="1:12" ht="15" customHeight="1" x14ac:dyDescent="0.2">
      <c r="A1000" s="2"/>
      <c r="B1000" s="3"/>
      <c r="C1000" s="2"/>
      <c r="D1000" s="3"/>
      <c r="E1000" s="3"/>
      <c r="F1000" s="3"/>
      <c r="G1000" s="3"/>
      <c r="H1000" s="2"/>
      <c r="I1000" s="3"/>
      <c r="J1000" s="3"/>
      <c r="K1000" s="3"/>
      <c r="L1000" s="3"/>
    </row>
    <row r="1001" spans="1:12" ht="15" customHeight="1" x14ac:dyDescent="0.2">
      <c r="A1001" s="8" t="s">
        <v>371</v>
      </c>
      <c r="B1001" s="9" t="s">
        <v>372</v>
      </c>
      <c r="C1001" s="8" t="s">
        <v>145</v>
      </c>
      <c r="D1001" s="10">
        <v>1.6</v>
      </c>
      <c r="E1001" s="10">
        <v>1.23</v>
      </c>
      <c r="F1001" s="11">
        <v>10.92</v>
      </c>
      <c r="G1001" s="12">
        <f t="shared" ref="G1001:G1013" si="1">IFERROR(MAX(Y1001:AA1001),"")</f>
        <v>0</v>
      </c>
      <c r="H1001" s="13" t="s">
        <v>5</v>
      </c>
      <c r="I1001" s="9"/>
      <c r="J1001" s="9" t="s">
        <v>272</v>
      </c>
      <c r="K1001" s="9" t="s">
        <v>373</v>
      </c>
      <c r="L1001" s="9" t="s">
        <v>374</v>
      </c>
    </row>
    <row r="1002" spans="1:12" ht="15" customHeight="1" x14ac:dyDescent="0.2">
      <c r="A1002" s="2" t="s">
        <v>375</v>
      </c>
      <c r="B1002" s="3" t="s">
        <v>376</v>
      </c>
      <c r="C1002" s="2" t="s">
        <v>145</v>
      </c>
      <c r="D1002" s="4">
        <v>1.32</v>
      </c>
      <c r="E1002" s="4">
        <v>1</v>
      </c>
      <c r="F1002" s="5">
        <v>5.21</v>
      </c>
      <c r="G1002" s="6">
        <f t="shared" si="1"/>
        <v>0</v>
      </c>
      <c r="H1002" s="13" t="s">
        <v>5</v>
      </c>
      <c r="I1002" s="3"/>
      <c r="J1002" s="3" t="s">
        <v>272</v>
      </c>
      <c r="K1002" s="3" t="s">
        <v>377</v>
      </c>
      <c r="L1002" s="3" t="s">
        <v>378</v>
      </c>
    </row>
    <row r="1003" spans="1:12" ht="15" customHeight="1" x14ac:dyDescent="0.2">
      <c r="A1003" s="8" t="s">
        <v>379</v>
      </c>
      <c r="B1003" s="9" t="s">
        <v>380</v>
      </c>
      <c r="C1003" s="8" t="s">
        <v>145</v>
      </c>
      <c r="D1003" s="10">
        <v>1.58</v>
      </c>
      <c r="E1003" s="10">
        <v>1.27</v>
      </c>
      <c r="F1003" s="11">
        <v>10.23</v>
      </c>
      <c r="G1003" s="12">
        <f t="shared" si="1"/>
        <v>0</v>
      </c>
      <c r="H1003" s="13" t="s">
        <v>5</v>
      </c>
      <c r="I1003" s="9"/>
      <c r="J1003" s="9" t="s">
        <v>272</v>
      </c>
      <c r="K1003" s="9" t="s">
        <v>381</v>
      </c>
      <c r="L1003" s="9" t="s">
        <v>382</v>
      </c>
    </row>
    <row r="1004" spans="1:12" ht="15" customHeight="1" x14ac:dyDescent="0.2">
      <c r="A1004" s="2" t="s">
        <v>383</v>
      </c>
      <c r="B1004" s="3" t="s">
        <v>384</v>
      </c>
      <c r="C1004" s="2" t="s">
        <v>145</v>
      </c>
      <c r="D1004" s="4">
        <v>1.57</v>
      </c>
      <c r="E1004" s="4">
        <v>1.19</v>
      </c>
      <c r="F1004" s="5">
        <v>10.79</v>
      </c>
      <c r="G1004" s="6">
        <f t="shared" si="1"/>
        <v>0</v>
      </c>
      <c r="H1004" s="7" t="s">
        <v>7</v>
      </c>
      <c r="I1004" s="3" t="s">
        <v>385</v>
      </c>
      <c r="J1004" s="3"/>
      <c r="K1004" s="3" t="s">
        <v>386</v>
      </c>
      <c r="L1004" s="3" t="s">
        <v>387</v>
      </c>
    </row>
    <row r="1005" spans="1:12" ht="15" customHeight="1" x14ac:dyDescent="0.2">
      <c r="A1005" s="8" t="s">
        <v>388</v>
      </c>
      <c r="B1005" s="9" t="s">
        <v>389</v>
      </c>
      <c r="C1005" s="8" t="s">
        <v>145</v>
      </c>
      <c r="D1005" s="10">
        <v>1.84</v>
      </c>
      <c r="E1005" s="10">
        <v>1.57</v>
      </c>
      <c r="F1005" s="11">
        <v>10.49</v>
      </c>
      <c r="G1005" s="12">
        <f t="shared" si="1"/>
        <v>0</v>
      </c>
      <c r="H1005" s="7" t="s">
        <v>7</v>
      </c>
      <c r="I1005" s="9" t="s">
        <v>390</v>
      </c>
      <c r="J1005" s="9"/>
      <c r="K1005" s="9" t="s">
        <v>391</v>
      </c>
      <c r="L1005" s="9" t="s">
        <v>392</v>
      </c>
    </row>
    <row r="1006" spans="1:12" ht="15" customHeight="1" x14ac:dyDescent="0.2">
      <c r="A1006" s="2" t="s">
        <v>393</v>
      </c>
      <c r="B1006" s="3" t="s">
        <v>394</v>
      </c>
      <c r="C1006" s="2" t="s">
        <v>145</v>
      </c>
      <c r="D1006" s="4">
        <v>-1</v>
      </c>
      <c r="E1006" s="4">
        <v>-0.47</v>
      </c>
      <c r="F1006" s="5">
        <v>5.82</v>
      </c>
      <c r="G1006" s="6">
        <f t="shared" si="1"/>
        <v>0</v>
      </c>
      <c r="H1006" s="7" t="s">
        <v>7</v>
      </c>
      <c r="I1006" s="3" t="s">
        <v>169</v>
      </c>
      <c r="J1006" s="3"/>
      <c r="K1006" s="3" t="s">
        <v>395</v>
      </c>
      <c r="L1006" s="3" t="s">
        <v>396</v>
      </c>
    </row>
    <row r="1007" spans="1:12" ht="15" customHeight="1" x14ac:dyDescent="0.2">
      <c r="A1007" s="8" t="s">
        <v>397</v>
      </c>
      <c r="B1007" s="9" t="s">
        <v>398</v>
      </c>
      <c r="C1007" s="8" t="s">
        <v>145</v>
      </c>
      <c r="D1007" s="10">
        <v>1.04</v>
      </c>
      <c r="E1007" s="10">
        <v>0.53</v>
      </c>
      <c r="F1007" s="11">
        <v>3.17</v>
      </c>
      <c r="G1007" s="12">
        <f t="shared" si="1"/>
        <v>0</v>
      </c>
      <c r="H1007" s="7" t="s">
        <v>7</v>
      </c>
      <c r="I1007" s="9" t="s">
        <v>399</v>
      </c>
      <c r="J1007" s="9"/>
      <c r="K1007" s="9" t="s">
        <v>400</v>
      </c>
      <c r="L1007" s="9" t="s">
        <v>401</v>
      </c>
    </row>
    <row r="1008" spans="1:12" ht="15" customHeight="1" x14ac:dyDescent="0.2">
      <c r="A1008" s="2" t="s">
        <v>402</v>
      </c>
      <c r="B1008" s="3" t="s">
        <v>403</v>
      </c>
      <c r="C1008" s="2" t="s">
        <v>145</v>
      </c>
      <c r="D1008" s="4">
        <v>0.11</v>
      </c>
      <c r="E1008" s="4">
        <v>0.02</v>
      </c>
      <c r="F1008" s="5">
        <v>6.45</v>
      </c>
      <c r="G1008" s="6">
        <f t="shared" si="1"/>
        <v>0</v>
      </c>
      <c r="H1008" s="7" t="s">
        <v>7</v>
      </c>
      <c r="I1008" s="3" t="s">
        <v>169</v>
      </c>
      <c r="J1008" s="3"/>
      <c r="K1008" s="3" t="s">
        <v>404</v>
      </c>
      <c r="L1008" s="3" t="s">
        <v>405</v>
      </c>
    </row>
    <row r="1009" spans="1:12" ht="15" customHeight="1" x14ac:dyDescent="0.2">
      <c r="A1009" s="8" t="s">
        <v>406</v>
      </c>
      <c r="B1009" s="9" t="s">
        <v>407</v>
      </c>
      <c r="C1009" s="8" t="s">
        <v>145</v>
      </c>
      <c r="D1009" s="10">
        <v>0.61</v>
      </c>
      <c r="E1009" s="10">
        <v>0.4</v>
      </c>
      <c r="F1009" s="11">
        <v>2.5</v>
      </c>
      <c r="G1009" s="12">
        <f t="shared" si="1"/>
        <v>0</v>
      </c>
      <c r="H1009" s="7" t="s">
        <v>7</v>
      </c>
      <c r="I1009" s="9" t="s">
        <v>408</v>
      </c>
      <c r="J1009" s="9"/>
      <c r="K1009" s="9" t="s">
        <v>409</v>
      </c>
      <c r="L1009" s="9" t="s">
        <v>410</v>
      </c>
    </row>
    <row r="1010" spans="1:12" ht="15" customHeight="1" x14ac:dyDescent="0.2">
      <c r="A1010" s="2" t="s">
        <v>411</v>
      </c>
      <c r="B1010" s="3" t="s">
        <v>412</v>
      </c>
      <c r="C1010" s="2" t="s">
        <v>145</v>
      </c>
      <c r="D1010" s="4">
        <v>-1.45</v>
      </c>
      <c r="E1010" s="4">
        <v>-0.84</v>
      </c>
      <c r="F1010" s="5">
        <v>26.2</v>
      </c>
      <c r="G1010" s="6">
        <f t="shared" si="1"/>
        <v>0</v>
      </c>
      <c r="H1010" s="7" t="s">
        <v>7</v>
      </c>
      <c r="I1010" s="3" t="s">
        <v>169</v>
      </c>
      <c r="J1010" s="3"/>
      <c r="K1010" s="3" t="s">
        <v>413</v>
      </c>
      <c r="L1010" s="3" t="s">
        <v>414</v>
      </c>
    </row>
    <row r="1011" spans="1:12" ht="15" customHeight="1" x14ac:dyDescent="0.2">
      <c r="A1011" s="8" t="s">
        <v>415</v>
      </c>
      <c r="B1011" s="9" t="s">
        <v>416</v>
      </c>
      <c r="C1011" s="8" t="s">
        <v>145</v>
      </c>
      <c r="D1011" s="10">
        <v>-0.01</v>
      </c>
      <c r="E1011" s="10">
        <v>0</v>
      </c>
      <c r="F1011" s="11">
        <v>15.13</v>
      </c>
      <c r="G1011" s="12">
        <f t="shared" si="1"/>
        <v>0</v>
      </c>
      <c r="H1011" s="7" t="s">
        <v>7</v>
      </c>
      <c r="I1011" s="9" t="s">
        <v>169</v>
      </c>
      <c r="J1011" s="9"/>
      <c r="K1011" s="9" t="s">
        <v>417</v>
      </c>
      <c r="L1011" s="9" t="s">
        <v>418</v>
      </c>
    </row>
    <row r="1012" spans="1:12" ht="15" customHeight="1" x14ac:dyDescent="0.2">
      <c r="A1012" s="2" t="s">
        <v>419</v>
      </c>
      <c r="B1012" s="3" t="s">
        <v>420</v>
      </c>
      <c r="C1012" s="2" t="s">
        <v>145</v>
      </c>
      <c r="D1012" s="4">
        <v>0.01</v>
      </c>
      <c r="E1012" s="4">
        <v>0</v>
      </c>
      <c r="F1012" s="5">
        <v>10.3</v>
      </c>
      <c r="G1012" s="6">
        <f t="shared" si="1"/>
        <v>0</v>
      </c>
      <c r="H1012" s="7" t="s">
        <v>7</v>
      </c>
      <c r="I1012" s="3" t="s">
        <v>421</v>
      </c>
      <c r="J1012" s="3"/>
      <c r="K1012" s="3" t="s">
        <v>422</v>
      </c>
      <c r="L1012" s="3" t="s">
        <v>423</v>
      </c>
    </row>
    <row r="1013" spans="1:12" ht="15" customHeight="1" x14ac:dyDescent="0.2">
      <c r="A1013" s="8" t="s">
        <v>424</v>
      </c>
      <c r="B1013" s="9" t="s">
        <v>425</v>
      </c>
      <c r="C1013" s="8" t="s">
        <v>145</v>
      </c>
      <c r="D1013" s="10">
        <v>-0.28000000000000003</v>
      </c>
      <c r="E1013" s="10">
        <v>-0.14000000000000001</v>
      </c>
      <c r="F1013" s="11">
        <v>19.03</v>
      </c>
      <c r="G1013" s="12">
        <f t="shared" si="1"/>
        <v>0</v>
      </c>
      <c r="H1013" s="7" t="s">
        <v>7</v>
      </c>
      <c r="I1013" s="9" t="s">
        <v>169</v>
      </c>
      <c r="J1013" s="9"/>
      <c r="K1013" s="9" t="s">
        <v>426</v>
      </c>
      <c r="L1013" s="9" t="s">
        <v>427</v>
      </c>
    </row>
    <row r="1014" spans="1:12" ht="15" customHeight="1" x14ac:dyDescent="0.2">
      <c r="A1014" s="2" t="s">
        <v>428</v>
      </c>
      <c r="B1014" s="3" t="s">
        <v>429</v>
      </c>
      <c r="C1014" s="2" t="s">
        <v>145</v>
      </c>
      <c r="D1014" s="4">
        <v>0.2</v>
      </c>
      <c r="E1014" s="4">
        <v>0.08</v>
      </c>
      <c r="F1014" s="5">
        <v>17.38</v>
      </c>
      <c r="G1014" s="3"/>
      <c r="H1014" s="7" t="s">
        <v>7</v>
      </c>
      <c r="I1014" s="3" t="s">
        <v>164</v>
      </c>
      <c r="J1014" s="3"/>
      <c r="K1014" s="3" t="s">
        <v>430</v>
      </c>
      <c r="L1014" s="3" t="s">
        <v>431</v>
      </c>
    </row>
    <row r="1015" spans="1:12" ht="15" customHeight="1" x14ac:dyDescent="0.2">
      <c r="A1015" s="8" t="s">
        <v>432</v>
      </c>
      <c r="B1015" s="9" t="s">
        <v>433</v>
      </c>
      <c r="C1015" s="8" t="s">
        <v>145</v>
      </c>
      <c r="D1015" s="10">
        <v>-7.0000000000000007E-2</v>
      </c>
      <c r="E1015" s="10">
        <v>-0.02</v>
      </c>
      <c r="F1015" s="11">
        <v>3.26</v>
      </c>
      <c r="G1015" s="9"/>
      <c r="H1015" s="7" t="s">
        <v>7</v>
      </c>
      <c r="I1015" s="9" t="s">
        <v>169</v>
      </c>
      <c r="J1015" s="9"/>
      <c r="K1015" s="9" t="s">
        <v>434</v>
      </c>
      <c r="L1015" s="9" t="s">
        <v>435</v>
      </c>
    </row>
    <row r="1016" spans="1:12" ht="15" customHeight="1" x14ac:dyDescent="0.2">
      <c r="A1016" s="2" t="s">
        <v>436</v>
      </c>
      <c r="B1016" s="3" t="s">
        <v>437</v>
      </c>
      <c r="C1016" s="2" t="s">
        <v>145</v>
      </c>
      <c r="D1016" s="4">
        <v>-0.51</v>
      </c>
      <c r="E1016" s="4">
        <v>-0.09</v>
      </c>
      <c r="F1016" s="5">
        <v>64.38</v>
      </c>
      <c r="G1016" s="3"/>
      <c r="H1016" s="7" t="s">
        <v>7</v>
      </c>
      <c r="I1016" s="3" t="s">
        <v>169</v>
      </c>
      <c r="J1016" s="3"/>
      <c r="K1016" s="3" t="s">
        <v>438</v>
      </c>
      <c r="L1016" s="3" t="s">
        <v>439</v>
      </c>
    </row>
    <row r="1017" spans="1:12" ht="15" customHeight="1" x14ac:dyDescent="0.2">
      <c r="A1017" s="8" t="s">
        <v>440</v>
      </c>
      <c r="B1017" s="9" t="s">
        <v>441</v>
      </c>
      <c r="C1017" s="8" t="s">
        <v>145</v>
      </c>
      <c r="D1017" s="10">
        <v>0.3</v>
      </c>
      <c r="E1017" s="10">
        <v>0.11</v>
      </c>
      <c r="F1017" s="11">
        <v>12.69</v>
      </c>
      <c r="G1017" s="9"/>
      <c r="H1017" s="7" t="s">
        <v>7</v>
      </c>
      <c r="I1017" s="9" t="s">
        <v>146</v>
      </c>
      <c r="J1017" s="9"/>
      <c r="K1017" s="9" t="s">
        <v>442</v>
      </c>
      <c r="L1017" s="9" t="s">
        <v>443</v>
      </c>
    </row>
    <row r="1018" spans="1:12" ht="15" customHeight="1" x14ac:dyDescent="0.2">
      <c r="A1018" s="2" t="s">
        <v>444</v>
      </c>
      <c r="B1018" s="3" t="s">
        <v>445</v>
      </c>
      <c r="C1018" s="2" t="s">
        <v>145</v>
      </c>
      <c r="D1018" s="4">
        <v>-0.5</v>
      </c>
      <c r="E1018" s="4">
        <v>-0.09</v>
      </c>
      <c r="F1018" s="5">
        <v>68.180000000000007</v>
      </c>
      <c r="G1018" s="3"/>
      <c r="H1018" s="7" t="s">
        <v>7</v>
      </c>
      <c r="I1018" s="3" t="s">
        <v>169</v>
      </c>
      <c r="J1018" s="3"/>
      <c r="K1018" s="3" t="s">
        <v>446</v>
      </c>
      <c r="L1018" s="3" t="s">
        <v>447</v>
      </c>
    </row>
    <row r="1019" spans="1:12" ht="15" customHeight="1" x14ac:dyDescent="0.2">
      <c r="A1019" s="8" t="s">
        <v>448</v>
      </c>
      <c r="B1019" s="9" t="s">
        <v>449</v>
      </c>
      <c r="C1019" s="8" t="s">
        <v>145</v>
      </c>
      <c r="D1019" s="10">
        <v>-0.06</v>
      </c>
      <c r="E1019" s="10">
        <v>-0.01</v>
      </c>
      <c r="F1019" s="11">
        <v>3.18</v>
      </c>
      <c r="G1019" s="9"/>
      <c r="H1019" s="7" t="s">
        <v>7</v>
      </c>
      <c r="I1019" s="9" t="s">
        <v>169</v>
      </c>
      <c r="J1019" s="9"/>
      <c r="K1019" s="9" t="s">
        <v>450</v>
      </c>
      <c r="L1019" s="9" t="s">
        <v>451</v>
      </c>
    </row>
    <row r="1020" spans="1:12" ht="15" customHeight="1" x14ac:dyDescent="0.2">
      <c r="A1020" s="2" t="s">
        <v>452</v>
      </c>
      <c r="B1020" s="3" t="s">
        <v>453</v>
      </c>
      <c r="C1020" s="2" t="s">
        <v>145</v>
      </c>
      <c r="D1020" s="4">
        <v>-7.0000000000000007E-2</v>
      </c>
      <c r="E1020" s="4">
        <v>-0.02</v>
      </c>
      <c r="F1020" s="5">
        <v>3.63</v>
      </c>
      <c r="G1020" s="3"/>
      <c r="H1020" s="7" t="s">
        <v>7</v>
      </c>
      <c r="I1020" s="3" t="s">
        <v>169</v>
      </c>
      <c r="J1020" s="3"/>
      <c r="K1020" s="3" t="s">
        <v>454</v>
      </c>
      <c r="L1020" s="3" t="s">
        <v>455</v>
      </c>
    </row>
    <row r="1021" spans="1:12" ht="15" customHeight="1" x14ac:dyDescent="0.2">
      <c r="A1021" s="8" t="s">
        <v>456</v>
      </c>
      <c r="B1021" s="9" t="s">
        <v>457</v>
      </c>
      <c r="C1021" s="8" t="s">
        <v>145</v>
      </c>
      <c r="D1021" s="10">
        <v>-0.56000000000000005</v>
      </c>
      <c r="E1021" s="10">
        <v>-0.19</v>
      </c>
      <c r="F1021" s="11">
        <v>32.01</v>
      </c>
      <c r="G1021" s="9"/>
      <c r="H1021" s="7" t="s">
        <v>7</v>
      </c>
      <c r="I1021" s="9" t="s">
        <v>169</v>
      </c>
      <c r="J1021" s="9"/>
      <c r="K1021" s="9" t="s">
        <v>458</v>
      </c>
      <c r="L1021" s="9" t="s">
        <v>459</v>
      </c>
    </row>
    <row r="1022" spans="1:12" ht="15" customHeight="1" x14ac:dyDescent="0.2">
      <c r="A1022" s="2" t="s">
        <v>460</v>
      </c>
      <c r="B1022" s="3" t="s">
        <v>461</v>
      </c>
      <c r="C1022" s="2" t="s">
        <v>145</v>
      </c>
      <c r="D1022" s="4">
        <v>0.65</v>
      </c>
      <c r="E1022" s="4">
        <v>0.27</v>
      </c>
      <c r="F1022" s="5">
        <v>3.6</v>
      </c>
      <c r="G1022" s="3"/>
      <c r="H1022" s="7" t="s">
        <v>7</v>
      </c>
      <c r="I1022" s="3" t="s">
        <v>164</v>
      </c>
      <c r="J1022" s="3"/>
      <c r="K1022" s="3" t="s">
        <v>462</v>
      </c>
      <c r="L1022" s="3" t="s">
        <v>463</v>
      </c>
    </row>
    <row r="1023" spans="1:12" ht="15" customHeight="1" x14ac:dyDescent="0.2">
      <c r="A1023" s="8" t="s">
        <v>464</v>
      </c>
      <c r="B1023" s="9" t="s">
        <v>465</v>
      </c>
      <c r="C1023" s="8" t="s">
        <v>145</v>
      </c>
      <c r="D1023" s="10">
        <v>0.65</v>
      </c>
      <c r="E1023" s="10">
        <v>0.32</v>
      </c>
      <c r="F1023" s="11">
        <v>2.86</v>
      </c>
      <c r="G1023" s="9"/>
      <c r="H1023" s="7" t="s">
        <v>7</v>
      </c>
      <c r="I1023" s="9" t="s">
        <v>164</v>
      </c>
      <c r="J1023" s="9"/>
      <c r="K1023" s="9" t="s">
        <v>466</v>
      </c>
      <c r="L1023" s="9" t="s">
        <v>463</v>
      </c>
    </row>
    <row r="1024" spans="1:12" ht="15" customHeight="1" x14ac:dyDescent="0.2">
      <c r="A1024" s="2" t="s">
        <v>467</v>
      </c>
      <c r="B1024" s="3" t="s">
        <v>468</v>
      </c>
      <c r="C1024" s="2" t="s">
        <v>145</v>
      </c>
      <c r="D1024" s="4">
        <v>1.21</v>
      </c>
      <c r="E1024" s="4">
        <v>0.56000000000000005</v>
      </c>
      <c r="F1024" s="5">
        <v>24.98</v>
      </c>
      <c r="G1024" s="3"/>
      <c r="H1024" s="7" t="s">
        <v>7</v>
      </c>
      <c r="I1024" s="3" t="s">
        <v>146</v>
      </c>
      <c r="J1024" s="3"/>
      <c r="K1024" s="3" t="s">
        <v>469</v>
      </c>
      <c r="L1024" s="3" t="s">
        <v>470</v>
      </c>
    </row>
    <row r="1025" spans="1:12" ht="15" customHeight="1" x14ac:dyDescent="0.2">
      <c r="A1025" s="8" t="s">
        <v>471</v>
      </c>
      <c r="B1025" s="9" t="s">
        <v>472</v>
      </c>
      <c r="C1025" s="8" t="s">
        <v>145</v>
      </c>
      <c r="D1025" s="10">
        <v>1.36</v>
      </c>
      <c r="E1025" s="10">
        <v>0.53</v>
      </c>
      <c r="F1025" s="11">
        <v>42.4</v>
      </c>
      <c r="G1025" s="9"/>
      <c r="H1025" s="7" t="s">
        <v>7</v>
      </c>
      <c r="I1025" s="9" t="s">
        <v>146</v>
      </c>
      <c r="J1025" s="9"/>
      <c r="K1025" s="9" t="s">
        <v>473</v>
      </c>
      <c r="L1025" s="9" t="s">
        <v>474</v>
      </c>
    </row>
    <row r="1026" spans="1:12" ht="15" customHeight="1" x14ac:dyDescent="0.2">
      <c r="A1026" s="2" t="s">
        <v>475</v>
      </c>
      <c r="B1026" s="3" t="s">
        <v>476</v>
      </c>
      <c r="C1026" s="2" t="s">
        <v>145</v>
      </c>
      <c r="D1026" s="4">
        <v>-0.05</v>
      </c>
      <c r="E1026" s="4">
        <v>0</v>
      </c>
      <c r="F1026" s="5">
        <v>54.45</v>
      </c>
      <c r="G1026" s="3"/>
      <c r="H1026" s="7" t="s">
        <v>7</v>
      </c>
      <c r="I1026" s="3" t="s">
        <v>169</v>
      </c>
      <c r="J1026" s="3"/>
      <c r="K1026" s="3" t="s">
        <v>477</v>
      </c>
      <c r="L1026" s="3" t="s">
        <v>478</v>
      </c>
    </row>
    <row r="1027" spans="1:12" ht="15" customHeight="1" x14ac:dyDescent="0.2">
      <c r="A1027" s="8" t="s">
        <v>479</v>
      </c>
      <c r="B1027" s="9" t="s">
        <v>480</v>
      </c>
      <c r="C1027" s="8" t="s">
        <v>145</v>
      </c>
      <c r="D1027" s="10">
        <v>0.9</v>
      </c>
      <c r="E1027" s="10">
        <v>0.53</v>
      </c>
      <c r="F1027" s="11">
        <v>12.3</v>
      </c>
      <c r="G1027" s="9"/>
      <c r="H1027" s="7" t="s">
        <v>7</v>
      </c>
      <c r="I1027" s="9" t="s">
        <v>146</v>
      </c>
      <c r="J1027" s="9"/>
      <c r="K1027" s="9" t="s">
        <v>481</v>
      </c>
      <c r="L1027" s="9" t="s">
        <v>482</v>
      </c>
    </row>
    <row r="1028" spans="1:12" ht="15" customHeight="1" x14ac:dyDescent="0.2">
      <c r="A1028" s="2" t="s">
        <v>483</v>
      </c>
      <c r="B1028" s="3" t="s">
        <v>484</v>
      </c>
      <c r="C1028" s="2" t="s">
        <v>145</v>
      </c>
      <c r="D1028" s="4">
        <v>0.68</v>
      </c>
      <c r="E1028" s="4">
        <v>0.28999999999999998</v>
      </c>
      <c r="F1028" s="5">
        <v>2.74</v>
      </c>
      <c r="G1028" s="3"/>
      <c r="H1028" s="7" t="s">
        <v>7</v>
      </c>
      <c r="I1028" s="3" t="s">
        <v>164</v>
      </c>
      <c r="J1028" s="3"/>
      <c r="K1028" s="3" t="s">
        <v>485</v>
      </c>
      <c r="L1028" s="3" t="s">
        <v>486</v>
      </c>
    </row>
    <row r="1029" spans="1:12" ht="15" customHeight="1" x14ac:dyDescent="0.2">
      <c r="A1029" s="8" t="s">
        <v>487</v>
      </c>
      <c r="B1029" s="9" t="s">
        <v>488</v>
      </c>
      <c r="C1029" s="8" t="s">
        <v>145</v>
      </c>
      <c r="D1029" s="10">
        <v>0.56999999999999995</v>
      </c>
      <c r="E1029" s="10">
        <v>0.22</v>
      </c>
      <c r="F1029" s="11">
        <v>3.56</v>
      </c>
      <c r="G1029" s="9"/>
      <c r="H1029" s="7" t="s">
        <v>7</v>
      </c>
      <c r="I1029" s="9" t="s">
        <v>164</v>
      </c>
      <c r="J1029" s="9"/>
      <c r="K1029" s="9" t="s">
        <v>489</v>
      </c>
      <c r="L1029" s="9" t="s">
        <v>490</v>
      </c>
    </row>
    <row r="1030" spans="1:12" ht="15" customHeight="1" x14ac:dyDescent="0.2">
      <c r="A1030" s="2" t="s">
        <v>491</v>
      </c>
      <c r="B1030" s="3" t="s">
        <v>492</v>
      </c>
      <c r="C1030" s="2" t="s">
        <v>145</v>
      </c>
      <c r="D1030" s="4">
        <v>0.1</v>
      </c>
      <c r="E1030" s="4">
        <v>0.01</v>
      </c>
      <c r="F1030" s="5">
        <v>12.87</v>
      </c>
      <c r="G1030" s="3"/>
      <c r="H1030" s="7" t="s">
        <v>7</v>
      </c>
      <c r="I1030" s="3" t="s">
        <v>169</v>
      </c>
      <c r="J1030" s="3"/>
      <c r="K1030" s="3" t="s">
        <v>493</v>
      </c>
      <c r="L1030" s="3" t="s">
        <v>494</v>
      </c>
    </row>
    <row r="1031" spans="1:12" ht="15" customHeight="1" x14ac:dyDescent="0.2">
      <c r="A1031" s="8" t="s">
        <v>495</v>
      </c>
      <c r="B1031" s="9" t="s">
        <v>496</v>
      </c>
      <c r="C1031" s="8" t="s">
        <v>145</v>
      </c>
      <c r="D1031" s="10">
        <v>0.16</v>
      </c>
      <c r="E1031" s="10">
        <v>0.03</v>
      </c>
      <c r="F1031" s="11">
        <v>3.01</v>
      </c>
      <c r="G1031" s="9"/>
      <c r="H1031" s="7" t="s">
        <v>7</v>
      </c>
      <c r="I1031" s="9" t="s">
        <v>169</v>
      </c>
      <c r="J1031" s="9"/>
      <c r="K1031" s="9" t="s">
        <v>497</v>
      </c>
      <c r="L1031" s="9" t="s">
        <v>498</v>
      </c>
    </row>
    <row r="1032" spans="1:12" ht="15" customHeight="1" x14ac:dyDescent="0.2">
      <c r="A1032" s="2" t="s">
        <v>499</v>
      </c>
      <c r="B1032" s="3" t="s">
        <v>500</v>
      </c>
      <c r="C1032" s="2" t="s">
        <v>145</v>
      </c>
      <c r="D1032" s="4">
        <v>-0.42</v>
      </c>
      <c r="E1032" s="4">
        <v>-0.15</v>
      </c>
      <c r="F1032" s="5">
        <v>14.25</v>
      </c>
      <c r="G1032" s="3"/>
      <c r="H1032" s="7" t="s">
        <v>7</v>
      </c>
      <c r="I1032" s="3" t="s">
        <v>169</v>
      </c>
      <c r="J1032" s="3"/>
      <c r="K1032" s="3" t="s">
        <v>501</v>
      </c>
      <c r="L1032" s="3" t="s">
        <v>502</v>
      </c>
    </row>
    <row r="1033" spans="1:12" ht="15" customHeight="1" x14ac:dyDescent="0.2">
      <c r="A1033" s="8" t="s">
        <v>503</v>
      </c>
      <c r="B1033" s="9" t="s">
        <v>504</v>
      </c>
      <c r="C1033" s="8" t="s">
        <v>145</v>
      </c>
      <c r="D1033" s="10">
        <v>-0.24</v>
      </c>
      <c r="E1033" s="10">
        <v>-0.06</v>
      </c>
      <c r="F1033" s="11">
        <v>7.81</v>
      </c>
      <c r="G1033" s="9"/>
      <c r="H1033" s="7" t="s">
        <v>7</v>
      </c>
      <c r="I1033" s="9" t="s">
        <v>164</v>
      </c>
      <c r="J1033" s="9"/>
      <c r="K1033" s="9" t="s">
        <v>505</v>
      </c>
      <c r="L1033" s="9" t="s">
        <v>506</v>
      </c>
    </row>
    <row r="1034" spans="1:12" ht="15" customHeight="1" x14ac:dyDescent="0.2">
      <c r="A1034" s="2" t="s">
        <v>507</v>
      </c>
      <c r="B1034" s="3" t="s">
        <v>508</v>
      </c>
      <c r="C1034" s="2" t="s">
        <v>145</v>
      </c>
      <c r="D1034" s="4">
        <v>-0.69</v>
      </c>
      <c r="E1034" s="4">
        <v>-0.28999999999999998</v>
      </c>
      <c r="F1034" s="5">
        <v>2.89</v>
      </c>
      <c r="G1034" s="3"/>
      <c r="H1034" s="7" t="s">
        <v>7</v>
      </c>
      <c r="I1034" s="3" t="s">
        <v>169</v>
      </c>
      <c r="J1034" s="3"/>
      <c r="K1034" s="3" t="s">
        <v>509</v>
      </c>
      <c r="L1034" s="3" t="s">
        <v>510</v>
      </c>
    </row>
    <row r="1035" spans="1:12" ht="15" customHeight="1" x14ac:dyDescent="0.2">
      <c r="A1035" s="8" t="s">
        <v>511</v>
      </c>
      <c r="B1035" s="9" t="s">
        <v>512</v>
      </c>
      <c r="C1035" s="8" t="s">
        <v>145</v>
      </c>
      <c r="D1035" s="10">
        <v>-0.28999999999999998</v>
      </c>
      <c r="E1035" s="10">
        <v>-7.0000000000000007E-2</v>
      </c>
      <c r="F1035" s="11">
        <v>5.9</v>
      </c>
      <c r="G1035" s="9"/>
      <c r="H1035" s="7" t="s">
        <v>7</v>
      </c>
      <c r="I1035" s="9" t="s">
        <v>164</v>
      </c>
      <c r="J1035" s="9"/>
      <c r="K1035" s="9" t="s">
        <v>513</v>
      </c>
      <c r="L1035" s="9" t="s">
        <v>514</v>
      </c>
    </row>
    <row r="1036" spans="1:12" ht="15" customHeight="1" x14ac:dyDescent="0.2">
      <c r="A1036" s="2" t="s">
        <v>515</v>
      </c>
      <c r="B1036" s="3" t="s">
        <v>516</v>
      </c>
      <c r="C1036" s="2" t="s">
        <v>145</v>
      </c>
      <c r="D1036" s="4">
        <v>0.08</v>
      </c>
      <c r="E1036" s="4">
        <v>0.01</v>
      </c>
      <c r="F1036" s="5">
        <v>56.17</v>
      </c>
      <c r="G1036" s="3"/>
      <c r="H1036" s="7" t="s">
        <v>7</v>
      </c>
      <c r="I1036" s="3" t="s">
        <v>169</v>
      </c>
      <c r="J1036" s="3"/>
      <c r="K1036" s="3" t="s">
        <v>517</v>
      </c>
      <c r="L1036" s="3" t="s">
        <v>518</v>
      </c>
    </row>
    <row r="1037" spans="1:12" ht="15" customHeight="1" x14ac:dyDescent="0.2">
      <c r="A1037" s="8" t="s">
        <v>519</v>
      </c>
      <c r="B1037" s="9" t="s">
        <v>520</v>
      </c>
      <c r="C1037" s="8" t="s">
        <v>145</v>
      </c>
      <c r="D1037" s="10">
        <v>-0.08</v>
      </c>
      <c r="E1037" s="10">
        <v>-0.01</v>
      </c>
      <c r="F1037" s="11">
        <v>56.27</v>
      </c>
      <c r="G1037" s="9"/>
      <c r="H1037" s="7" t="s">
        <v>7</v>
      </c>
      <c r="I1037" s="9" t="s">
        <v>169</v>
      </c>
      <c r="J1037" s="9"/>
      <c r="K1037" s="9" t="s">
        <v>521</v>
      </c>
      <c r="L1037" s="9" t="s">
        <v>522</v>
      </c>
    </row>
    <row r="1038" spans="1:12" ht="15" customHeight="1" x14ac:dyDescent="0.2">
      <c r="A1038" s="2" t="s">
        <v>523</v>
      </c>
      <c r="B1038" s="3" t="s">
        <v>524</v>
      </c>
      <c r="C1038" s="2" t="s">
        <v>145</v>
      </c>
      <c r="D1038" s="4">
        <v>-0.1</v>
      </c>
      <c r="E1038" s="4">
        <v>-0.01</v>
      </c>
      <c r="F1038" s="5">
        <v>49.3</v>
      </c>
      <c r="G1038" s="3"/>
      <c r="H1038" s="7" t="s">
        <v>7</v>
      </c>
      <c r="I1038" s="3" t="s">
        <v>169</v>
      </c>
      <c r="J1038" s="3"/>
      <c r="K1038" s="3" t="s">
        <v>525</v>
      </c>
      <c r="L1038" s="3" t="s">
        <v>526</v>
      </c>
    </row>
    <row r="1039" spans="1:12" ht="15" customHeight="1" x14ac:dyDescent="0.2">
      <c r="A1039" s="8" t="s">
        <v>527</v>
      </c>
      <c r="B1039" s="9" t="s">
        <v>528</v>
      </c>
      <c r="C1039" s="8" t="s">
        <v>145</v>
      </c>
      <c r="D1039" s="10">
        <v>0.99</v>
      </c>
      <c r="E1039" s="10">
        <v>0.57999999999999996</v>
      </c>
      <c r="F1039" s="11">
        <v>9.26</v>
      </c>
      <c r="G1039" s="9"/>
      <c r="H1039" s="7" t="s">
        <v>7</v>
      </c>
      <c r="I1039" s="9" t="s">
        <v>306</v>
      </c>
      <c r="J1039" s="9"/>
      <c r="K1039" s="9" t="s">
        <v>529</v>
      </c>
      <c r="L1039" s="9" t="s">
        <v>530</v>
      </c>
    </row>
    <row r="1040" spans="1:12" ht="15" customHeight="1" x14ac:dyDescent="0.2">
      <c r="A1040" s="2" t="s">
        <v>531</v>
      </c>
      <c r="B1040" s="3" t="s">
        <v>532</v>
      </c>
      <c r="C1040" s="2" t="s">
        <v>145</v>
      </c>
      <c r="D1040" s="4">
        <v>1.24</v>
      </c>
      <c r="E1040" s="4">
        <v>0.88</v>
      </c>
      <c r="F1040" s="5">
        <v>10.23</v>
      </c>
      <c r="G1040" s="3"/>
      <c r="H1040" s="7" t="s">
        <v>7</v>
      </c>
      <c r="I1040" s="3" t="s">
        <v>306</v>
      </c>
      <c r="J1040" s="3"/>
      <c r="K1040" s="3" t="s">
        <v>533</v>
      </c>
      <c r="L1040" s="3" t="s">
        <v>534</v>
      </c>
    </row>
    <row r="1041" spans="1:12" ht="15" customHeight="1" x14ac:dyDescent="0.2">
      <c r="A1041" s="8" t="s">
        <v>535</v>
      </c>
      <c r="B1041" s="9" t="s">
        <v>536</v>
      </c>
      <c r="C1041" s="8" t="s">
        <v>145</v>
      </c>
      <c r="D1041" s="10">
        <v>1.42</v>
      </c>
      <c r="E1041" s="10">
        <v>1.08</v>
      </c>
      <c r="F1041" s="11">
        <v>14.3</v>
      </c>
      <c r="G1041" s="9"/>
      <c r="H1041" s="7" t="s">
        <v>7</v>
      </c>
      <c r="I1041" s="9" t="s">
        <v>211</v>
      </c>
      <c r="J1041" s="9"/>
      <c r="K1041" s="9" t="s">
        <v>537</v>
      </c>
      <c r="L1041" s="9" t="s">
        <v>538</v>
      </c>
    </row>
    <row r="1042" spans="1:12" ht="15" customHeight="1" x14ac:dyDescent="0.2">
      <c r="A1042" s="2" t="s">
        <v>539</v>
      </c>
      <c r="B1042" s="3" t="s">
        <v>540</v>
      </c>
      <c r="C1042" s="2" t="s">
        <v>145</v>
      </c>
      <c r="D1042" s="4">
        <v>0.48</v>
      </c>
      <c r="E1042" s="4">
        <v>0.27</v>
      </c>
      <c r="F1042" s="5">
        <v>8.1199999999999992</v>
      </c>
      <c r="G1042" s="3"/>
      <c r="H1042" s="7" t="s">
        <v>7</v>
      </c>
      <c r="I1042" s="3" t="s">
        <v>306</v>
      </c>
      <c r="J1042" s="3"/>
      <c r="K1042" s="3" t="s">
        <v>541</v>
      </c>
      <c r="L1042" s="3" t="s">
        <v>542</v>
      </c>
    </row>
    <row r="1043" spans="1:12" ht="15" customHeight="1" x14ac:dyDescent="0.2">
      <c r="A1043" s="8" t="s">
        <v>543</v>
      </c>
      <c r="B1043" s="9" t="s">
        <v>544</v>
      </c>
      <c r="C1043" s="8" t="s">
        <v>145</v>
      </c>
      <c r="D1043" s="10">
        <v>0.53</v>
      </c>
      <c r="E1043" s="10">
        <v>0.25</v>
      </c>
      <c r="F1043" s="11">
        <v>8.02</v>
      </c>
      <c r="G1043" s="9"/>
      <c r="H1043" s="7" t="s">
        <v>7</v>
      </c>
      <c r="I1043" s="9" t="s">
        <v>306</v>
      </c>
      <c r="J1043" s="9"/>
      <c r="K1043" s="9" t="s">
        <v>541</v>
      </c>
      <c r="L1043" s="9" t="s">
        <v>545</v>
      </c>
    </row>
    <row r="1044" spans="1:12" ht="15" customHeight="1" x14ac:dyDescent="0.2">
      <c r="A1044" s="2" t="s">
        <v>546</v>
      </c>
      <c r="B1044" s="3" t="s">
        <v>547</v>
      </c>
      <c r="C1044" s="2" t="s">
        <v>145</v>
      </c>
      <c r="D1044" s="4">
        <v>1.61</v>
      </c>
      <c r="E1044" s="4">
        <v>1.26</v>
      </c>
      <c r="F1044" s="5">
        <v>13.15</v>
      </c>
      <c r="G1044" s="6">
        <v>0.67290000000000005</v>
      </c>
      <c r="H1044" s="2"/>
      <c r="I1044" s="3"/>
      <c r="J1044" s="3" t="s">
        <v>548</v>
      </c>
      <c r="K1044" s="3" t="s">
        <v>549</v>
      </c>
      <c r="L1044" s="3" t="s">
        <v>550</v>
      </c>
    </row>
    <row r="1045" spans="1:12" ht="15" customHeight="1" x14ac:dyDescent="0.2">
      <c r="A1045" s="8" t="s">
        <v>551</v>
      </c>
      <c r="B1045" s="9" t="s">
        <v>552</v>
      </c>
      <c r="C1045" s="8" t="s">
        <v>553</v>
      </c>
      <c r="D1045" s="10">
        <v>1.89</v>
      </c>
      <c r="E1045" s="10">
        <v>1.88</v>
      </c>
      <c r="F1045" s="11">
        <v>12.45</v>
      </c>
      <c r="G1045" s="12">
        <v>0.64580000000000004</v>
      </c>
      <c r="H1045" s="8"/>
      <c r="I1045" s="9"/>
      <c r="J1045" s="9"/>
      <c r="K1045" s="9" t="s">
        <v>554</v>
      </c>
      <c r="L1045" s="9" t="s">
        <v>374</v>
      </c>
    </row>
    <row r="1046" spans="1:12" ht="15" customHeight="1" x14ac:dyDescent="0.2">
      <c r="A1046" s="2" t="s">
        <v>555</v>
      </c>
      <c r="B1046" s="3" t="s">
        <v>556</v>
      </c>
      <c r="C1046" s="2" t="s">
        <v>553</v>
      </c>
      <c r="D1046" s="4">
        <v>1.77</v>
      </c>
      <c r="E1046" s="4">
        <v>1.62</v>
      </c>
      <c r="F1046" s="5">
        <v>10.92</v>
      </c>
      <c r="G1046" s="6">
        <v>0.54559999999999997</v>
      </c>
      <c r="H1046" s="2"/>
      <c r="I1046" s="3"/>
      <c r="J1046" s="3"/>
      <c r="K1046" s="3" t="s">
        <v>557</v>
      </c>
      <c r="L1046" s="3" t="s">
        <v>278</v>
      </c>
    </row>
    <row r="1047" spans="1:12" ht="15" customHeight="1" x14ac:dyDescent="0.2">
      <c r="A1047" s="8" t="s">
        <v>558</v>
      </c>
      <c r="B1047" s="9" t="s">
        <v>559</v>
      </c>
      <c r="C1047" s="8" t="s">
        <v>560</v>
      </c>
      <c r="D1047" s="10">
        <v>1.66</v>
      </c>
      <c r="E1047" s="10">
        <v>1.36</v>
      </c>
      <c r="F1047" s="11">
        <v>10.24</v>
      </c>
      <c r="G1047" s="12">
        <v>0.7339</v>
      </c>
      <c r="H1047" s="7" t="s">
        <v>7</v>
      </c>
      <c r="I1047" s="9" t="s">
        <v>211</v>
      </c>
      <c r="J1047" s="9"/>
      <c r="K1047" s="9" t="s">
        <v>561</v>
      </c>
      <c r="L1047" s="9" t="s">
        <v>278</v>
      </c>
    </row>
    <row r="1048" spans="1:12" ht="15" customHeight="1" x14ac:dyDescent="0.2">
      <c r="A1048" s="2" t="s">
        <v>562</v>
      </c>
      <c r="B1048" s="3" t="s">
        <v>563</v>
      </c>
      <c r="C1048" s="2" t="s">
        <v>553</v>
      </c>
      <c r="D1048" s="4">
        <v>1.8</v>
      </c>
      <c r="E1048" s="4">
        <v>1.58</v>
      </c>
      <c r="F1048" s="5">
        <v>10.17</v>
      </c>
      <c r="G1048" s="6">
        <v>0.28260000000000002</v>
      </c>
      <c r="H1048" s="2"/>
      <c r="I1048" s="3"/>
      <c r="J1048" s="3"/>
      <c r="K1048" s="3" t="s">
        <v>564</v>
      </c>
      <c r="L1048" s="3" t="s">
        <v>331</v>
      </c>
    </row>
    <row r="1049" spans="1:12" ht="15" customHeight="1" x14ac:dyDescent="0.2">
      <c r="A1049" s="8" t="s">
        <v>565</v>
      </c>
      <c r="B1049" s="9" t="s">
        <v>566</v>
      </c>
      <c r="C1049" s="8" t="s">
        <v>560</v>
      </c>
      <c r="D1049" s="10">
        <v>1.46</v>
      </c>
      <c r="E1049" s="10">
        <v>1</v>
      </c>
      <c r="F1049" s="11">
        <v>9.26</v>
      </c>
      <c r="G1049" s="12">
        <v>0.46079999999999999</v>
      </c>
      <c r="H1049" s="8"/>
      <c r="I1049" s="9"/>
      <c r="J1049" s="9"/>
      <c r="K1049" s="9" t="s">
        <v>567</v>
      </c>
      <c r="L1049" s="9" t="s">
        <v>331</v>
      </c>
    </row>
    <row r="1050" spans="1:12" ht="15" customHeight="1" x14ac:dyDescent="0.2">
      <c r="A1050" s="2" t="s">
        <v>568</v>
      </c>
      <c r="B1050" s="3" t="s">
        <v>569</v>
      </c>
      <c r="C1050" s="2" t="s">
        <v>553</v>
      </c>
      <c r="D1050" s="4">
        <v>1.6</v>
      </c>
      <c r="E1050" s="4">
        <v>1.19</v>
      </c>
      <c r="F1050" s="5">
        <v>14.99</v>
      </c>
      <c r="G1050" s="6">
        <v>0.42709999999999998</v>
      </c>
      <c r="H1050" s="2"/>
      <c r="I1050" s="3"/>
      <c r="J1050" s="3"/>
      <c r="K1050" s="3" t="s">
        <v>570</v>
      </c>
      <c r="L1050" s="3" t="s">
        <v>550</v>
      </c>
    </row>
    <row r="1051" spans="1:12" ht="15" customHeight="1" x14ac:dyDescent="0.2">
      <c r="A1051" s="8" t="s">
        <v>571</v>
      </c>
      <c r="B1051" s="9" t="s">
        <v>572</v>
      </c>
      <c r="C1051" s="8" t="s">
        <v>560</v>
      </c>
      <c r="D1051" s="10">
        <v>1.92</v>
      </c>
      <c r="E1051" s="10">
        <v>1.75</v>
      </c>
      <c r="F1051" s="11">
        <v>11.9</v>
      </c>
      <c r="G1051" s="12">
        <v>0.7994</v>
      </c>
      <c r="H1051" s="7" t="s">
        <v>7</v>
      </c>
      <c r="I1051" s="9" t="s">
        <v>211</v>
      </c>
      <c r="J1051" s="9"/>
      <c r="K1051" s="9" t="s">
        <v>573</v>
      </c>
      <c r="L1051" s="9" t="s">
        <v>374</v>
      </c>
    </row>
    <row r="1052" spans="1:12" ht="15" customHeight="1" x14ac:dyDescent="0.2">
      <c r="A1052" s="2" t="s">
        <v>574</v>
      </c>
      <c r="B1052" s="3" t="s">
        <v>575</v>
      </c>
      <c r="C1052" s="2" t="s">
        <v>560</v>
      </c>
      <c r="D1052" s="4">
        <v>1.35</v>
      </c>
      <c r="E1052" s="4">
        <v>1.1000000000000001</v>
      </c>
      <c r="F1052" s="5">
        <v>11.48</v>
      </c>
      <c r="G1052" s="6">
        <v>0.86870000000000003</v>
      </c>
      <c r="H1052" s="7" t="s">
        <v>7</v>
      </c>
      <c r="I1052" s="3" t="s">
        <v>211</v>
      </c>
      <c r="J1052" s="3"/>
      <c r="K1052" s="3" t="s">
        <v>576</v>
      </c>
      <c r="L1052" s="3" t="s">
        <v>382</v>
      </c>
    </row>
    <row r="1053" spans="1:12" ht="15" customHeight="1" x14ac:dyDescent="0.2">
      <c r="A1053" s="8" t="s">
        <v>577</v>
      </c>
      <c r="B1053" s="9" t="s">
        <v>578</v>
      </c>
      <c r="C1053" s="8" t="s">
        <v>553</v>
      </c>
      <c r="D1053" s="10">
        <v>1.33</v>
      </c>
      <c r="E1053" s="10">
        <v>1.07</v>
      </c>
      <c r="F1053" s="11">
        <v>12.17</v>
      </c>
      <c r="G1053" s="12">
        <v>0.64900000000000002</v>
      </c>
      <c r="H1053" s="8"/>
      <c r="I1053" s="9"/>
      <c r="J1053" s="9"/>
      <c r="K1053" s="9" t="s">
        <v>579</v>
      </c>
      <c r="L1053" s="9" t="s">
        <v>382</v>
      </c>
    </row>
    <row r="1054" spans="1:12" ht="15" customHeight="1" x14ac:dyDescent="0.2">
      <c r="A1054" s="2" t="s">
        <v>580</v>
      </c>
      <c r="B1054" s="3" t="s">
        <v>581</v>
      </c>
      <c r="C1054" s="2" t="s">
        <v>145</v>
      </c>
      <c r="D1054" s="4">
        <v>1.81</v>
      </c>
      <c r="E1054" s="4">
        <v>1.47</v>
      </c>
      <c r="F1054" s="5">
        <v>14.8</v>
      </c>
      <c r="G1054" s="6">
        <v>0.84109999999999996</v>
      </c>
      <c r="H1054" s="7" t="s">
        <v>7</v>
      </c>
      <c r="I1054" s="3" t="s">
        <v>211</v>
      </c>
      <c r="J1054" s="3"/>
      <c r="K1054" s="3" t="s">
        <v>582</v>
      </c>
      <c r="L1054" s="3" t="s">
        <v>583</v>
      </c>
    </row>
    <row r="1055" spans="1:12" ht="15" customHeight="1" x14ac:dyDescent="0.2">
      <c r="A1055" s="8" t="s">
        <v>584</v>
      </c>
      <c r="B1055" s="9" t="s">
        <v>585</v>
      </c>
      <c r="C1055" s="8" t="s">
        <v>145</v>
      </c>
      <c r="D1055" s="10">
        <v>1.86</v>
      </c>
      <c r="E1055" s="10">
        <v>1.56</v>
      </c>
      <c r="F1055" s="11">
        <v>14.42</v>
      </c>
      <c r="G1055" s="9"/>
      <c r="H1055" s="8"/>
      <c r="I1055" s="9"/>
      <c r="J1055" s="9"/>
      <c r="K1055" s="9" t="s">
        <v>586</v>
      </c>
      <c r="L1055" s="9" t="s">
        <v>587</v>
      </c>
    </row>
    <row r="1056" spans="1:12" ht="15" customHeight="1" x14ac:dyDescent="0.2">
      <c r="A1056" s="2" t="s">
        <v>588</v>
      </c>
      <c r="B1056" s="3" t="s">
        <v>589</v>
      </c>
      <c r="C1056" s="2" t="s">
        <v>145</v>
      </c>
      <c r="D1056" s="4">
        <v>1.74</v>
      </c>
      <c r="E1056" s="4">
        <v>1.42</v>
      </c>
      <c r="F1056" s="5">
        <v>9.86</v>
      </c>
      <c r="G1056" s="3"/>
      <c r="H1056" s="2"/>
      <c r="I1056" s="3"/>
      <c r="J1056" s="3"/>
      <c r="K1056" s="3" t="s">
        <v>590</v>
      </c>
      <c r="L1056" s="3" t="s">
        <v>591</v>
      </c>
    </row>
    <row r="1057" spans="1:12" ht="15" customHeight="1" x14ac:dyDescent="0.2">
      <c r="A1057" s="8" t="s">
        <v>592</v>
      </c>
      <c r="B1057" s="9" t="s">
        <v>593</v>
      </c>
      <c r="C1057" s="8" t="s">
        <v>145</v>
      </c>
      <c r="D1057" s="10">
        <v>1.57</v>
      </c>
      <c r="E1057" s="10">
        <v>1.19</v>
      </c>
      <c r="F1057" s="11">
        <v>10.79</v>
      </c>
      <c r="G1057" s="9"/>
      <c r="H1057" s="8"/>
      <c r="I1057" s="9"/>
      <c r="J1057" s="9"/>
      <c r="K1057" s="9" t="s">
        <v>594</v>
      </c>
      <c r="L1057" s="9" t="s">
        <v>387</v>
      </c>
    </row>
    <row r="1058" spans="1:12" ht="15" customHeight="1" x14ac:dyDescent="0.2">
      <c r="A1058" s="2" t="s">
        <v>595</v>
      </c>
      <c r="B1058" s="3" t="s">
        <v>596</v>
      </c>
      <c r="C1058" s="2" t="s">
        <v>145</v>
      </c>
      <c r="D1058" s="4">
        <v>1.59</v>
      </c>
      <c r="E1058" s="4">
        <v>1.22</v>
      </c>
      <c r="F1058" s="5">
        <v>13.3</v>
      </c>
      <c r="G1058" s="3"/>
      <c r="H1058" s="2"/>
      <c r="I1058" s="3"/>
      <c r="J1058" s="3"/>
      <c r="K1058" s="3" t="s">
        <v>597</v>
      </c>
      <c r="L1058" s="3" t="s">
        <v>598</v>
      </c>
    </row>
    <row r="1059" spans="1:12" ht="15" customHeight="1" x14ac:dyDescent="0.2">
      <c r="A1059" s="8" t="s">
        <v>599</v>
      </c>
      <c r="B1059" s="9" t="s">
        <v>600</v>
      </c>
      <c r="C1059" s="8" t="s">
        <v>145</v>
      </c>
      <c r="D1059" s="10">
        <v>1.9</v>
      </c>
      <c r="E1059" s="10">
        <v>1.58</v>
      </c>
      <c r="F1059" s="11">
        <v>12.93</v>
      </c>
      <c r="G1059" s="9"/>
      <c r="H1059" s="7" t="s">
        <v>7</v>
      </c>
      <c r="I1059" s="9" t="s">
        <v>601</v>
      </c>
      <c r="J1059" s="9"/>
      <c r="K1059" s="9" t="s">
        <v>602</v>
      </c>
      <c r="L1059" s="9" t="s">
        <v>603</v>
      </c>
    </row>
    <row r="1060" spans="1:12" ht="15" customHeight="1" x14ac:dyDescent="0.2">
      <c r="A1060" s="2" t="s">
        <v>604</v>
      </c>
      <c r="B1060" s="3" t="s">
        <v>605</v>
      </c>
      <c r="C1060" s="2" t="s">
        <v>145</v>
      </c>
      <c r="D1060" s="4">
        <v>1.66</v>
      </c>
      <c r="E1060" s="4">
        <v>1.19</v>
      </c>
      <c r="F1060" s="5">
        <v>8.2200000000000006</v>
      </c>
      <c r="G1060" s="3"/>
      <c r="H1060" s="7" t="s">
        <v>7</v>
      </c>
      <c r="I1060" s="3" t="s">
        <v>606</v>
      </c>
      <c r="J1060" s="3"/>
      <c r="K1060" s="3" t="s">
        <v>607</v>
      </c>
      <c r="L1060" s="3" t="s">
        <v>608</v>
      </c>
    </row>
    <row r="1061" spans="1:12" ht="15" customHeight="1" x14ac:dyDescent="0.2">
      <c r="A1061" s="8" t="s">
        <v>609</v>
      </c>
      <c r="B1061" s="9" t="s">
        <v>610</v>
      </c>
      <c r="C1061" s="8" t="s">
        <v>145</v>
      </c>
      <c r="D1061" s="10">
        <v>1.9</v>
      </c>
      <c r="E1061" s="10">
        <v>1.58</v>
      </c>
      <c r="F1061" s="11">
        <v>12.93</v>
      </c>
      <c r="G1061" s="9"/>
      <c r="H1061" s="8"/>
      <c r="I1061" s="9"/>
      <c r="J1061" s="9"/>
      <c r="K1061" s="9" t="s">
        <v>611</v>
      </c>
      <c r="L1061" s="9" t="s">
        <v>612</v>
      </c>
    </row>
    <row r="1062" spans="1:12" ht="15" customHeight="1" x14ac:dyDescent="0.2">
      <c r="A1062" s="2" t="s">
        <v>613</v>
      </c>
      <c r="B1062" s="3" t="s">
        <v>614</v>
      </c>
      <c r="C1062" s="2" t="s">
        <v>145</v>
      </c>
      <c r="D1062" s="4">
        <v>1.66</v>
      </c>
      <c r="E1062" s="4">
        <v>1.19</v>
      </c>
      <c r="F1062" s="5">
        <v>8.2200000000000006</v>
      </c>
      <c r="G1062" s="3"/>
      <c r="H1062" s="7" t="s">
        <v>7</v>
      </c>
      <c r="I1062" s="3" t="s">
        <v>615</v>
      </c>
      <c r="J1062" s="3"/>
      <c r="K1062" s="3" t="s">
        <v>616</v>
      </c>
      <c r="L1062" s="3" t="s">
        <v>617</v>
      </c>
    </row>
    <row r="1063" spans="1:12" ht="15" customHeight="1" x14ac:dyDescent="0.2">
      <c r="A1063" s="8" t="s">
        <v>618</v>
      </c>
      <c r="B1063" s="9" t="s">
        <v>619</v>
      </c>
      <c r="C1063" s="8" t="s">
        <v>145</v>
      </c>
      <c r="D1063" s="10">
        <v>1.4</v>
      </c>
      <c r="E1063" s="10">
        <v>1.06</v>
      </c>
      <c r="F1063" s="11">
        <v>14.26</v>
      </c>
      <c r="G1063" s="9"/>
      <c r="H1063" s="7" t="s">
        <v>7</v>
      </c>
      <c r="I1063" s="9" t="s">
        <v>620</v>
      </c>
      <c r="J1063" s="9"/>
      <c r="K1063" s="9" t="s">
        <v>621</v>
      </c>
      <c r="L1063" s="9" t="s">
        <v>622</v>
      </c>
    </row>
    <row r="1064" spans="1:12" ht="15" customHeight="1" x14ac:dyDescent="0.2">
      <c r="A1064" s="2" t="s">
        <v>623</v>
      </c>
      <c r="B1064" s="3" t="s">
        <v>624</v>
      </c>
      <c r="C1064" s="2" t="s">
        <v>145</v>
      </c>
      <c r="D1064" s="4">
        <v>1.45</v>
      </c>
      <c r="E1064" s="4">
        <v>1.1200000000000001</v>
      </c>
      <c r="F1064" s="5">
        <v>14.23</v>
      </c>
      <c r="G1064" s="3"/>
      <c r="H1064" s="7" t="s">
        <v>7</v>
      </c>
      <c r="I1064" s="3" t="s">
        <v>625</v>
      </c>
      <c r="J1064" s="3"/>
      <c r="K1064" s="3" t="s">
        <v>626</v>
      </c>
      <c r="L1064" s="3" t="s">
        <v>627</v>
      </c>
    </row>
    <row r="1065" spans="1:12" ht="15" customHeight="1" x14ac:dyDescent="0.2">
      <c r="A1065" s="8" t="s">
        <v>25</v>
      </c>
      <c r="B1065" s="9" t="s">
        <v>628</v>
      </c>
      <c r="C1065" s="8" t="s">
        <v>145</v>
      </c>
      <c r="D1065" s="10">
        <v>1.66</v>
      </c>
      <c r="E1065" s="10">
        <v>1.18</v>
      </c>
      <c r="F1065" s="11">
        <v>8.26</v>
      </c>
      <c r="G1065" s="12">
        <v>0.56869999999999998</v>
      </c>
      <c r="H1065" s="8"/>
      <c r="I1065" s="9"/>
      <c r="J1065" s="9"/>
      <c r="K1065" s="9" t="s">
        <v>629</v>
      </c>
      <c r="L1065" s="9" t="s">
        <v>630</v>
      </c>
    </row>
    <row r="1066" spans="1:12" ht="15" customHeight="1" x14ac:dyDescent="0.2">
      <c r="A1066" s="2" t="s">
        <v>631</v>
      </c>
      <c r="B1066" s="3" t="s">
        <v>632</v>
      </c>
      <c r="C1066" s="2" t="s">
        <v>145</v>
      </c>
      <c r="D1066" s="4">
        <v>1.59</v>
      </c>
      <c r="E1066" s="4">
        <v>1.25</v>
      </c>
      <c r="F1066" s="5">
        <v>13.99</v>
      </c>
      <c r="G1066" s="3"/>
      <c r="H1066" s="7" t="s">
        <v>7</v>
      </c>
      <c r="I1066" s="3" t="s">
        <v>633</v>
      </c>
      <c r="J1066" s="3"/>
      <c r="K1066" s="3" t="s">
        <v>634</v>
      </c>
      <c r="L1066" s="3" t="s">
        <v>635</v>
      </c>
    </row>
    <row r="1067" spans="1:12" ht="15" customHeight="1" x14ac:dyDescent="0.2">
      <c r="A1067" s="8" t="s">
        <v>636</v>
      </c>
      <c r="B1067" s="9" t="s">
        <v>637</v>
      </c>
      <c r="C1067" s="8" t="s">
        <v>145</v>
      </c>
      <c r="D1067" s="10">
        <v>1.55</v>
      </c>
      <c r="E1067" s="10">
        <v>1.07</v>
      </c>
      <c r="F1067" s="11">
        <v>16.850000000000001</v>
      </c>
      <c r="G1067" s="9"/>
      <c r="H1067" s="7" t="s">
        <v>7</v>
      </c>
      <c r="I1067" s="9" t="s">
        <v>638</v>
      </c>
      <c r="J1067" s="9"/>
      <c r="K1067" s="9" t="s">
        <v>639</v>
      </c>
      <c r="L1067" s="9" t="s">
        <v>640</v>
      </c>
    </row>
    <row r="1068" spans="1:12" ht="15" customHeight="1" x14ac:dyDescent="0.2">
      <c r="A1068" s="2" t="s">
        <v>641</v>
      </c>
      <c r="B1068" s="3" t="s">
        <v>642</v>
      </c>
      <c r="C1068" s="2" t="s">
        <v>145</v>
      </c>
      <c r="D1068" s="4">
        <v>1.78</v>
      </c>
      <c r="E1068" s="4">
        <v>1.1200000000000001</v>
      </c>
      <c r="F1068" s="5">
        <v>14.15</v>
      </c>
      <c r="G1068" s="6">
        <v>0.61729999999999996</v>
      </c>
      <c r="H1068" s="2" t="s">
        <v>643</v>
      </c>
      <c r="I1068" s="3" t="s">
        <v>644</v>
      </c>
      <c r="J1068" s="3"/>
      <c r="K1068" s="3" t="s">
        <v>645</v>
      </c>
      <c r="L1068" s="3" t="s">
        <v>646</v>
      </c>
    </row>
    <row r="1069" spans="1:12" ht="15" customHeight="1" x14ac:dyDescent="0.2">
      <c r="A1069" s="8" t="s">
        <v>21</v>
      </c>
      <c r="B1069" s="9" t="s">
        <v>647</v>
      </c>
      <c r="C1069" s="8" t="s">
        <v>553</v>
      </c>
      <c r="D1069" s="10">
        <v>1.8</v>
      </c>
      <c r="E1069" s="10">
        <v>1.58</v>
      </c>
      <c r="F1069" s="11">
        <v>10.17</v>
      </c>
      <c r="G1069" s="12">
        <v>0.35920000000000002</v>
      </c>
      <c r="H1069" s="8"/>
      <c r="I1069" s="9"/>
      <c r="J1069" s="9"/>
      <c r="K1069" s="9" t="s">
        <v>648</v>
      </c>
      <c r="L1069" s="9" t="s">
        <v>331</v>
      </c>
    </row>
    <row r="1070" spans="1:12" ht="15" customHeight="1" x14ac:dyDescent="0.2">
      <c r="A1070" s="2" t="s">
        <v>29</v>
      </c>
      <c r="B1070" s="3" t="s">
        <v>649</v>
      </c>
      <c r="C1070" s="2" t="s">
        <v>553</v>
      </c>
      <c r="D1070" s="4">
        <v>1.77</v>
      </c>
      <c r="E1070" s="4">
        <v>1.62</v>
      </c>
      <c r="F1070" s="5">
        <v>10.92</v>
      </c>
      <c r="G1070" s="6">
        <v>0.54559999999999997</v>
      </c>
      <c r="H1070" s="2"/>
      <c r="I1070" s="3"/>
      <c r="J1070" s="3"/>
      <c r="K1070" s="3" t="s">
        <v>650</v>
      </c>
      <c r="L1070" s="3" t="s">
        <v>278</v>
      </c>
    </row>
    <row r="1071" spans="1:12" ht="15" customHeight="1" x14ac:dyDescent="0.2">
      <c r="A1071" s="8" t="s">
        <v>651</v>
      </c>
      <c r="B1071" s="9" t="s">
        <v>652</v>
      </c>
      <c r="C1071" s="8" t="s">
        <v>560</v>
      </c>
      <c r="D1071" s="10">
        <v>1.46</v>
      </c>
      <c r="E1071" s="10">
        <v>1</v>
      </c>
      <c r="F1071" s="11">
        <v>9.26</v>
      </c>
      <c r="G1071" s="12">
        <v>0.58160000000000001</v>
      </c>
      <c r="H1071" s="8" t="s">
        <v>7</v>
      </c>
      <c r="I1071" s="9" t="s">
        <v>653</v>
      </c>
      <c r="J1071" s="9"/>
      <c r="K1071" s="9" t="s">
        <v>654</v>
      </c>
      <c r="L1071" s="9" t="s">
        <v>331</v>
      </c>
    </row>
    <row r="1072" spans="1:12" ht="15" customHeight="1" x14ac:dyDescent="0.2">
      <c r="A1072" s="2" t="s">
        <v>655</v>
      </c>
      <c r="B1072" s="3" t="s">
        <v>656</v>
      </c>
      <c r="C1072" s="2" t="s">
        <v>553</v>
      </c>
      <c r="D1072" s="4">
        <v>1.6</v>
      </c>
      <c r="E1072" s="4">
        <v>1.19</v>
      </c>
      <c r="F1072" s="5">
        <v>14.99</v>
      </c>
      <c r="G1072" s="6">
        <v>0.42709999999999998</v>
      </c>
      <c r="H1072" s="2" t="s">
        <v>7</v>
      </c>
      <c r="I1072" s="3" t="s">
        <v>657</v>
      </c>
      <c r="J1072" s="3"/>
      <c r="K1072" s="3" t="s">
        <v>658</v>
      </c>
      <c r="L1072" s="3" t="s">
        <v>550</v>
      </c>
    </row>
    <row r="1073" spans="1:12" ht="15" customHeight="1" x14ac:dyDescent="0.2">
      <c r="A1073" s="8" t="s">
        <v>659</v>
      </c>
      <c r="B1073" s="9" t="s">
        <v>610</v>
      </c>
      <c r="C1073" s="8" t="s">
        <v>145</v>
      </c>
      <c r="D1073" s="10">
        <v>1.9</v>
      </c>
      <c r="E1073" s="10">
        <v>1.58</v>
      </c>
      <c r="F1073" s="11">
        <v>12.93</v>
      </c>
      <c r="G1073" s="12">
        <v>0.49030000000000001</v>
      </c>
      <c r="H1073" s="8"/>
      <c r="I1073" s="9"/>
      <c r="J1073" s="9"/>
      <c r="K1073" s="9" t="s">
        <v>660</v>
      </c>
      <c r="L1073" s="9" t="s">
        <v>612</v>
      </c>
    </row>
    <row r="1074" spans="1:12" ht="15" customHeight="1" x14ac:dyDescent="0.2">
      <c r="A1074" s="2" t="s">
        <v>661</v>
      </c>
      <c r="B1074" s="3" t="s">
        <v>662</v>
      </c>
      <c r="C1074" s="2" t="s">
        <v>553</v>
      </c>
      <c r="D1074" s="4">
        <v>1.33</v>
      </c>
      <c r="E1074" s="4">
        <v>1.07</v>
      </c>
      <c r="F1074" s="5">
        <v>12.17</v>
      </c>
      <c r="G1074" s="6">
        <v>0.64900000000000002</v>
      </c>
      <c r="H1074" s="2"/>
      <c r="I1074" s="3"/>
      <c r="J1074" s="3"/>
      <c r="K1074" s="3" t="s">
        <v>663</v>
      </c>
      <c r="L1074" s="3" t="s">
        <v>382</v>
      </c>
    </row>
    <row r="1075" spans="1:12" ht="15" customHeight="1" x14ac:dyDescent="0.2">
      <c r="A1075" s="8" t="s">
        <v>664</v>
      </c>
      <c r="B1075" s="9" t="s">
        <v>665</v>
      </c>
      <c r="C1075" s="8" t="s">
        <v>145</v>
      </c>
      <c r="D1075" s="10">
        <v>1.97</v>
      </c>
      <c r="E1075" s="10">
        <v>1.65</v>
      </c>
      <c r="F1075" s="11">
        <v>12.87</v>
      </c>
      <c r="G1075" s="12">
        <v>0.54579999999999995</v>
      </c>
      <c r="H1075" s="13" t="s">
        <v>5</v>
      </c>
      <c r="I1075" s="9"/>
      <c r="J1075" s="9"/>
      <c r="K1075" s="9" t="s">
        <v>666</v>
      </c>
      <c r="L1075" s="9" t="s">
        <v>667</v>
      </c>
    </row>
    <row r="1076" spans="1:12" ht="15" customHeight="1" x14ac:dyDescent="0.2">
      <c r="A1076" s="2" t="s">
        <v>668</v>
      </c>
      <c r="B1076" s="3" t="s">
        <v>669</v>
      </c>
      <c r="C1076" s="2" t="s">
        <v>145</v>
      </c>
      <c r="D1076" s="4">
        <v>1.82</v>
      </c>
      <c r="E1076" s="4">
        <v>1.51</v>
      </c>
      <c r="F1076" s="5">
        <v>15.22</v>
      </c>
      <c r="G1076" s="6">
        <v>0.8286</v>
      </c>
      <c r="H1076" s="7" t="s">
        <v>7</v>
      </c>
      <c r="I1076" s="3" t="s">
        <v>670</v>
      </c>
      <c r="J1076" s="3"/>
      <c r="K1076" s="3" t="s">
        <v>671</v>
      </c>
      <c r="L1076" s="3" t="s">
        <v>672</v>
      </c>
    </row>
    <row r="1077" spans="1:12" ht="15" customHeight="1" x14ac:dyDescent="0.2">
      <c r="A1077" s="8" t="s">
        <v>673</v>
      </c>
      <c r="B1077" s="9" t="s">
        <v>674</v>
      </c>
      <c r="C1077" s="8" t="s">
        <v>145</v>
      </c>
      <c r="D1077" s="10">
        <v>1.73</v>
      </c>
      <c r="E1077" s="10">
        <v>1.41</v>
      </c>
      <c r="F1077" s="11">
        <v>11.57</v>
      </c>
      <c r="G1077" s="12">
        <v>0.90649999999999997</v>
      </c>
      <c r="H1077" s="7" t="s">
        <v>7</v>
      </c>
      <c r="I1077" s="9" t="s">
        <v>675</v>
      </c>
      <c r="J1077" s="9"/>
      <c r="K1077" s="9" t="s">
        <v>676</v>
      </c>
      <c r="L1077" s="9" t="s">
        <v>677</v>
      </c>
    </row>
    <row r="1078" spans="1:12" ht="15" customHeight="1" x14ac:dyDescent="0.2">
      <c r="A1078" s="2" t="s">
        <v>678</v>
      </c>
      <c r="B1078" s="3" t="s">
        <v>679</v>
      </c>
      <c r="C1078" s="2" t="s">
        <v>145</v>
      </c>
      <c r="D1078" s="4">
        <v>1.61</v>
      </c>
      <c r="E1078" s="4">
        <v>1.23</v>
      </c>
      <c r="F1078" s="5">
        <v>9.0399999999999991</v>
      </c>
      <c r="G1078" s="6">
        <v>0.89729999999999999</v>
      </c>
      <c r="H1078" s="7" t="s">
        <v>7</v>
      </c>
      <c r="I1078" s="3" t="s">
        <v>675</v>
      </c>
      <c r="J1078" s="3"/>
      <c r="K1078" s="3" t="s">
        <v>680</v>
      </c>
      <c r="L1078" s="3" t="s">
        <v>681</v>
      </c>
    </row>
    <row r="1079" spans="1:12" ht="15" customHeight="1" x14ac:dyDescent="0.2">
      <c r="A1079" s="8" t="s">
        <v>682</v>
      </c>
      <c r="B1079" s="9" t="s">
        <v>683</v>
      </c>
      <c r="C1079" s="8" t="s">
        <v>145</v>
      </c>
      <c r="D1079" s="10">
        <v>1.57</v>
      </c>
      <c r="E1079" s="10">
        <v>1.08</v>
      </c>
      <c r="F1079" s="11">
        <v>8.1300000000000008</v>
      </c>
      <c r="G1079" s="12">
        <v>0.99560000000000004</v>
      </c>
      <c r="H1079" s="7" t="s">
        <v>7</v>
      </c>
      <c r="I1079" s="9" t="s">
        <v>675</v>
      </c>
      <c r="J1079" s="9"/>
      <c r="K1079" s="9" t="s">
        <v>684</v>
      </c>
      <c r="L1079" s="9" t="s">
        <v>685</v>
      </c>
    </row>
    <row r="1080" spans="1:12" ht="15" customHeight="1" x14ac:dyDescent="0.2">
      <c r="A1080" s="2" t="s">
        <v>686</v>
      </c>
      <c r="B1080" s="3" t="s">
        <v>687</v>
      </c>
      <c r="C1080" s="2" t="s">
        <v>145</v>
      </c>
      <c r="D1080" s="4">
        <v>1.56</v>
      </c>
      <c r="E1080" s="4">
        <v>1.29</v>
      </c>
      <c r="F1080" s="5">
        <v>13.41</v>
      </c>
      <c r="G1080" s="6">
        <v>0.70140000000000002</v>
      </c>
      <c r="H1080" s="7" t="s">
        <v>7</v>
      </c>
      <c r="I1080" s="3" t="s">
        <v>688</v>
      </c>
      <c r="J1080" s="3"/>
      <c r="K1080" s="3" t="s">
        <v>689</v>
      </c>
      <c r="L1080" s="3" t="s">
        <v>690</v>
      </c>
    </row>
    <row r="1081" spans="1:12" ht="15" customHeight="1" x14ac:dyDescent="0.2">
      <c r="A1081" s="8" t="s">
        <v>691</v>
      </c>
      <c r="B1081" s="9" t="s">
        <v>692</v>
      </c>
      <c r="C1081" s="8" t="s">
        <v>145</v>
      </c>
      <c r="D1081" s="10">
        <v>1.44</v>
      </c>
      <c r="E1081" s="10">
        <v>1.1000000000000001</v>
      </c>
      <c r="F1081" s="11">
        <v>14.34</v>
      </c>
      <c r="G1081" s="12">
        <v>0.99550000000000005</v>
      </c>
      <c r="H1081" s="7" t="s">
        <v>7</v>
      </c>
      <c r="I1081" s="9" t="s">
        <v>670</v>
      </c>
      <c r="J1081" s="9"/>
      <c r="K1081" s="9" t="s">
        <v>693</v>
      </c>
      <c r="L1081" s="9" t="s">
        <v>694</v>
      </c>
    </row>
    <row r="1082" spans="1:12" ht="15" customHeight="1" x14ac:dyDescent="0.2">
      <c r="A1082" s="2" t="s">
        <v>695</v>
      </c>
      <c r="B1082" s="3" t="s">
        <v>696</v>
      </c>
      <c r="C1082" s="2" t="s">
        <v>145</v>
      </c>
      <c r="D1082" s="4">
        <v>1.41</v>
      </c>
      <c r="E1082" s="3"/>
      <c r="F1082" s="3"/>
      <c r="G1082" s="3"/>
      <c r="H1082" s="7" t="s">
        <v>7</v>
      </c>
      <c r="I1082" s="3" t="s">
        <v>688</v>
      </c>
      <c r="J1082" s="3"/>
      <c r="K1082" s="3" t="s">
        <v>697</v>
      </c>
      <c r="L1082" s="3" t="s">
        <v>698</v>
      </c>
    </row>
    <row r="1083" spans="1:12" ht="15" customHeight="1" x14ac:dyDescent="0.2">
      <c r="A1083" s="8" t="s">
        <v>699</v>
      </c>
      <c r="B1083" s="9" t="s">
        <v>700</v>
      </c>
      <c r="C1083" s="8" t="s">
        <v>553</v>
      </c>
      <c r="D1083" s="10">
        <v>1.4</v>
      </c>
      <c r="E1083" s="10">
        <v>1.1399999999999999</v>
      </c>
      <c r="F1083" s="11">
        <v>14.9</v>
      </c>
      <c r="G1083" s="12">
        <v>0.48920000000000002</v>
      </c>
      <c r="H1083" s="7" t="s">
        <v>701</v>
      </c>
      <c r="I1083" s="9" t="s">
        <v>702</v>
      </c>
      <c r="J1083" s="9"/>
      <c r="K1083" s="9" t="s">
        <v>703</v>
      </c>
      <c r="L1083" s="9" t="s">
        <v>603</v>
      </c>
    </row>
    <row r="1084" spans="1:12" ht="15" customHeight="1" x14ac:dyDescent="0.2">
      <c r="A1084" s="2" t="s">
        <v>704</v>
      </c>
      <c r="B1084" s="3" t="s">
        <v>705</v>
      </c>
      <c r="C1084" s="2" t="s">
        <v>553</v>
      </c>
      <c r="D1084" s="4">
        <v>1.4</v>
      </c>
      <c r="E1084" s="4">
        <v>1.1399999999999999</v>
      </c>
      <c r="F1084" s="5">
        <v>14.9</v>
      </c>
      <c r="G1084" s="6">
        <v>0.48920000000000002</v>
      </c>
      <c r="H1084" s="13" t="s">
        <v>5</v>
      </c>
      <c r="I1084" s="3"/>
      <c r="J1084" s="3"/>
      <c r="K1084" s="3" t="s">
        <v>706</v>
      </c>
      <c r="L1084" s="3" t="s">
        <v>612</v>
      </c>
    </row>
    <row r="1085" spans="1:12" ht="15" customHeight="1" x14ac:dyDescent="0.2">
      <c r="A1085" s="8" t="s">
        <v>707</v>
      </c>
      <c r="B1085" s="9" t="s">
        <v>708</v>
      </c>
      <c r="C1085" s="8" t="s">
        <v>553</v>
      </c>
      <c r="D1085" s="10">
        <v>1.22</v>
      </c>
      <c r="E1085" s="10">
        <v>1.05</v>
      </c>
      <c r="F1085" s="11">
        <v>12.44</v>
      </c>
      <c r="G1085" s="12">
        <v>0.69140000000000001</v>
      </c>
      <c r="H1085" s="7" t="s">
        <v>7</v>
      </c>
      <c r="I1085" s="9" t="s">
        <v>709</v>
      </c>
      <c r="J1085" s="9"/>
      <c r="K1085" s="9" t="s">
        <v>710</v>
      </c>
      <c r="L1085" s="9" t="s">
        <v>274</v>
      </c>
    </row>
    <row r="1086" spans="1:12" ht="15" customHeight="1" x14ac:dyDescent="0.2">
      <c r="A1086" s="2" t="s">
        <v>711</v>
      </c>
      <c r="B1086" s="3" t="s">
        <v>712</v>
      </c>
      <c r="C1086" s="2" t="s">
        <v>553</v>
      </c>
      <c r="D1086" s="4">
        <v>1.37</v>
      </c>
      <c r="E1086" s="4">
        <v>0.91</v>
      </c>
      <c r="F1086" s="5">
        <v>14.37</v>
      </c>
      <c r="G1086" s="6">
        <v>0.50270000000000004</v>
      </c>
      <c r="H1086" s="13" t="s">
        <v>7</v>
      </c>
      <c r="I1086" s="3" t="s">
        <v>713</v>
      </c>
      <c r="J1086" s="3"/>
      <c r="K1086" s="3" t="s">
        <v>714</v>
      </c>
      <c r="L1086" s="3" t="s">
        <v>646</v>
      </c>
    </row>
    <row r="1087" spans="1:12" ht="15" customHeight="1" x14ac:dyDescent="0.2">
      <c r="A1087" s="8" t="s">
        <v>715</v>
      </c>
      <c r="B1087" s="9" t="s">
        <v>716</v>
      </c>
      <c r="C1087" s="8" t="s">
        <v>553</v>
      </c>
      <c r="D1087" s="10">
        <v>1.48</v>
      </c>
      <c r="E1087" s="10">
        <v>1.2</v>
      </c>
      <c r="F1087" s="11">
        <v>14.29</v>
      </c>
      <c r="G1087" s="12">
        <v>0.56679999999999997</v>
      </c>
      <c r="H1087" s="13" t="s">
        <v>7</v>
      </c>
      <c r="I1087" s="9" t="s">
        <v>717</v>
      </c>
      <c r="J1087" s="9"/>
      <c r="K1087" s="9" t="s">
        <v>718</v>
      </c>
      <c r="L1087" s="9" t="s">
        <v>719</v>
      </c>
    </row>
    <row r="1088" spans="1:12" ht="15" customHeight="1" x14ac:dyDescent="0.2">
      <c r="A1088" s="14" t="s">
        <v>720</v>
      </c>
      <c r="B1088" s="14" t="s">
        <v>721</v>
      </c>
      <c r="C1088" s="14" t="s">
        <v>553</v>
      </c>
      <c r="D1088" s="14">
        <v>1.43</v>
      </c>
      <c r="E1088" s="14">
        <v>1.18</v>
      </c>
      <c r="F1088" s="14"/>
      <c r="G1088" s="14">
        <v>0.5474</v>
      </c>
      <c r="H1088" s="14" t="s">
        <v>5</v>
      </c>
      <c r="I1088" s="14"/>
      <c r="J1088" s="14" t="s">
        <v>722</v>
      </c>
      <c r="K1088" s="14" t="s">
        <v>723</v>
      </c>
      <c r="L1088" s="14" t="s">
        <v>724</v>
      </c>
    </row>
    <row r="1089" spans="1:12" ht="15" customHeight="1" x14ac:dyDescent="0.2">
      <c r="A1089" s="14" t="s">
        <v>725</v>
      </c>
      <c r="B1089" s="14" t="s">
        <v>726</v>
      </c>
      <c r="C1089" s="14" t="s">
        <v>553</v>
      </c>
      <c r="D1089" s="14">
        <v>1.51</v>
      </c>
      <c r="E1089" s="14">
        <v>1.19</v>
      </c>
      <c r="F1089" s="14"/>
      <c r="G1089" s="14">
        <v>0.34599999999999997</v>
      </c>
      <c r="H1089" s="14" t="s">
        <v>5</v>
      </c>
      <c r="I1089" s="14"/>
      <c r="J1089" s="14" t="s">
        <v>727</v>
      </c>
      <c r="K1089" s="14" t="s">
        <v>728</v>
      </c>
      <c r="L1089" s="14" t="s">
        <v>729</v>
      </c>
    </row>
    <row r="1090" spans="1:12" ht="15" customHeight="1" x14ac:dyDescent="0.2">
      <c r="A1090" t="s">
        <v>730</v>
      </c>
      <c r="B1090" t="s">
        <v>731</v>
      </c>
      <c r="C1090" t="s">
        <v>145</v>
      </c>
      <c r="D1090">
        <v>1.48</v>
      </c>
      <c r="E1090">
        <v>0.98</v>
      </c>
      <c r="H1090" t="s">
        <v>732</v>
      </c>
      <c r="I1090" t="s">
        <v>733</v>
      </c>
      <c r="K1090" t="s">
        <v>734</v>
      </c>
      <c r="L1090" t="s">
        <v>735</v>
      </c>
    </row>
    <row r="1091" spans="1:12" ht="15" customHeight="1" x14ac:dyDescent="0.2">
      <c r="A1091" t="s">
        <v>736</v>
      </c>
      <c r="B1091" t="s">
        <v>737</v>
      </c>
      <c r="C1091" t="s">
        <v>145</v>
      </c>
      <c r="D1091">
        <v>1.35</v>
      </c>
      <c r="E1091">
        <v>0.93</v>
      </c>
      <c r="H1091" t="s">
        <v>732</v>
      </c>
      <c r="I1091" t="s">
        <v>738</v>
      </c>
      <c r="K1091" t="s">
        <v>739</v>
      </c>
      <c r="L1091" t="s">
        <v>740</v>
      </c>
    </row>
    <row r="1092" spans="1:12" ht="15" customHeight="1" x14ac:dyDescent="0.2">
      <c r="A1092" t="s">
        <v>741</v>
      </c>
      <c r="B1092" t="s">
        <v>742</v>
      </c>
      <c r="C1092" t="s">
        <v>145</v>
      </c>
      <c r="D1092">
        <v>1.27</v>
      </c>
      <c r="E1092">
        <v>0.91</v>
      </c>
      <c r="H1092" t="s">
        <v>732</v>
      </c>
      <c r="I1092" t="s">
        <v>743</v>
      </c>
      <c r="K1092" t="s">
        <v>744</v>
      </c>
      <c r="L1092" t="s">
        <v>745</v>
      </c>
    </row>
    <row r="1093" spans="1:12" ht="15" customHeight="1" x14ac:dyDescent="0.2">
      <c r="A1093" t="s">
        <v>746</v>
      </c>
      <c r="B1093" t="s">
        <v>747</v>
      </c>
      <c r="C1093" t="s">
        <v>145</v>
      </c>
      <c r="D1093">
        <v>1.25</v>
      </c>
      <c r="E1093">
        <v>0.9</v>
      </c>
      <c r="H1093" t="s">
        <v>732</v>
      </c>
      <c r="I1093" t="s">
        <v>748</v>
      </c>
      <c r="K1093" t="s">
        <v>749</v>
      </c>
      <c r="L1093" t="s">
        <v>750</v>
      </c>
    </row>
    <row r="1094" spans="1:12" ht="15" customHeight="1" x14ac:dyDescent="0.2">
      <c r="A1094" t="s">
        <v>751</v>
      </c>
      <c r="B1094" t="s">
        <v>752</v>
      </c>
      <c r="C1094" t="s">
        <v>145</v>
      </c>
      <c r="D1094">
        <v>1.23</v>
      </c>
      <c r="E1094">
        <v>0.87</v>
      </c>
      <c r="H1094" t="s">
        <v>732</v>
      </c>
      <c r="I1094" t="s">
        <v>753</v>
      </c>
      <c r="K1094" t="s">
        <v>754</v>
      </c>
      <c r="L1094" t="s">
        <v>313</v>
      </c>
    </row>
    <row r="1095" spans="1:12" x14ac:dyDescent="0.2">
      <c r="A1095" s="37" t="s">
        <v>755</v>
      </c>
      <c r="B1095" s="37" t="s">
        <v>756</v>
      </c>
      <c r="C1095" s="37" t="s">
        <v>145</v>
      </c>
      <c r="D1095" s="37">
        <v>1.68</v>
      </c>
      <c r="E1095" s="37">
        <v>1.18</v>
      </c>
      <c r="F1095" s="37">
        <v>20.12</v>
      </c>
      <c r="G1095" s="37">
        <v>0.5423</v>
      </c>
      <c r="H1095" s="37" t="s">
        <v>757</v>
      </c>
      <c r="I1095" s="37"/>
      <c r="J1095" s="37"/>
      <c r="K1095" s="37" t="s">
        <v>758</v>
      </c>
      <c r="L1095" s="37" t="s">
        <v>759</v>
      </c>
    </row>
    <row r="1096" spans="1:12" x14ac:dyDescent="0.2">
      <c r="A1096" s="37" t="s">
        <v>760</v>
      </c>
      <c r="B1096" s="37" t="s">
        <v>761</v>
      </c>
      <c r="C1096" s="37" t="s">
        <v>145</v>
      </c>
      <c r="D1096" s="37">
        <v>1.65</v>
      </c>
      <c r="E1096" s="37">
        <v>1.17</v>
      </c>
      <c r="F1096" s="37">
        <v>10.01</v>
      </c>
      <c r="G1096" s="37">
        <v>0.57720000000000005</v>
      </c>
      <c r="H1096" s="37" t="s">
        <v>5</v>
      </c>
      <c r="I1096" s="37"/>
      <c r="J1096" s="37" t="s">
        <v>762</v>
      </c>
      <c r="K1096" s="37" t="s">
        <v>763</v>
      </c>
      <c r="L1096" s="37" t="s">
        <v>764</v>
      </c>
    </row>
    <row r="1097" spans="1:12" x14ac:dyDescent="0.2">
      <c r="A1097" s="37" t="s">
        <v>765</v>
      </c>
      <c r="B1097" s="37" t="s">
        <v>766</v>
      </c>
      <c r="C1097" s="37" t="s">
        <v>145</v>
      </c>
      <c r="D1097" s="37">
        <v>1.7</v>
      </c>
      <c r="E1097" s="37">
        <v>1</v>
      </c>
      <c r="F1097" s="37">
        <v>12.63</v>
      </c>
      <c r="G1097" s="37">
        <v>0.3589</v>
      </c>
      <c r="H1097" s="37" t="s">
        <v>757</v>
      </c>
      <c r="I1097" s="37"/>
      <c r="J1097" s="37"/>
      <c r="K1097" s="37" t="s">
        <v>767</v>
      </c>
      <c r="L1097" s="37" t="s">
        <v>768</v>
      </c>
    </row>
    <row r="1098" spans="1:12" x14ac:dyDescent="0.2">
      <c r="A1098" s="37" t="s">
        <v>769</v>
      </c>
      <c r="B1098" s="37" t="s">
        <v>770</v>
      </c>
      <c r="C1098" s="37" t="s">
        <v>553</v>
      </c>
      <c r="D1098" s="37">
        <v>1.27</v>
      </c>
      <c r="E1098" s="37">
        <v>0.53</v>
      </c>
      <c r="F1098" s="37">
        <v>33.29</v>
      </c>
      <c r="G1098" s="37"/>
      <c r="H1098" s="37" t="s">
        <v>7</v>
      </c>
      <c r="I1098" s="37" t="s">
        <v>771</v>
      </c>
      <c r="J1098" s="37"/>
      <c r="K1098" s="37" t="s">
        <v>772</v>
      </c>
      <c r="L1098" s="37" t="s">
        <v>759</v>
      </c>
    </row>
    <row r="1099" spans="1:12" x14ac:dyDescent="0.2">
      <c r="A1099" s="37" t="s">
        <v>773</v>
      </c>
      <c r="B1099" s="37" t="s">
        <v>774</v>
      </c>
      <c r="C1099" s="37" t="s">
        <v>553</v>
      </c>
      <c r="D1099" s="37">
        <v>1.21</v>
      </c>
      <c r="E1099" s="37">
        <v>0.82</v>
      </c>
      <c r="F1099" s="37">
        <v>12.58</v>
      </c>
      <c r="G1099" s="37"/>
      <c r="H1099" s="37" t="s">
        <v>7</v>
      </c>
      <c r="I1099" s="37" t="s">
        <v>775</v>
      </c>
      <c r="J1099" s="37"/>
      <c r="K1099" s="37" t="s">
        <v>776</v>
      </c>
      <c r="L1099" s="37" t="s">
        <v>759</v>
      </c>
    </row>
    <row r="1100" spans="1:12" x14ac:dyDescent="0.2">
      <c r="A1100" s="37" t="s">
        <v>777</v>
      </c>
      <c r="B1100" s="37" t="s">
        <v>778</v>
      </c>
      <c r="C1100" s="37" t="s">
        <v>145</v>
      </c>
      <c r="D1100" s="37">
        <v>1.59</v>
      </c>
      <c r="E1100" s="37">
        <v>0.7</v>
      </c>
      <c r="F1100" s="37">
        <v>29.2</v>
      </c>
      <c r="G1100" s="37"/>
      <c r="H1100" s="37" t="s">
        <v>7</v>
      </c>
      <c r="I1100" s="37" t="s">
        <v>779</v>
      </c>
      <c r="J1100" s="37"/>
      <c r="K1100" s="37" t="s">
        <v>780</v>
      </c>
      <c r="L1100" s="37" t="s">
        <v>759</v>
      </c>
    </row>
    <row r="1101" spans="1:12" x14ac:dyDescent="0.2">
      <c r="A1101" s="37" t="s">
        <v>781</v>
      </c>
      <c r="B1101" s="37" t="s">
        <v>782</v>
      </c>
      <c r="C1101" s="37" t="s">
        <v>145</v>
      </c>
      <c r="D1101" s="37">
        <v>-0.28999999999999998</v>
      </c>
      <c r="E1101" s="37">
        <v>-0.09</v>
      </c>
      <c r="F1101" s="37">
        <v>10.08</v>
      </c>
      <c r="G1101" s="37"/>
      <c r="H1101" s="37" t="s">
        <v>7</v>
      </c>
      <c r="I1101" s="37" t="s">
        <v>783</v>
      </c>
      <c r="J1101" s="37"/>
      <c r="K1101" s="37" t="s">
        <v>784</v>
      </c>
      <c r="L1101" s="37" t="s">
        <v>785</v>
      </c>
    </row>
    <row r="1102" spans="1:12" x14ac:dyDescent="0.2">
      <c r="A1102" s="37" t="s">
        <v>786</v>
      </c>
      <c r="B1102" s="37" t="s">
        <v>787</v>
      </c>
      <c r="C1102" s="37" t="s">
        <v>145</v>
      </c>
      <c r="D1102" s="37">
        <v>0.54</v>
      </c>
      <c r="E1102" s="37">
        <v>0.21</v>
      </c>
      <c r="F1102" s="37">
        <v>8.92</v>
      </c>
      <c r="G1102" s="37"/>
      <c r="H1102" s="37" t="s">
        <v>7</v>
      </c>
      <c r="I1102" s="37" t="s">
        <v>788</v>
      </c>
      <c r="J1102" s="37"/>
      <c r="K1102" s="37" t="s">
        <v>789</v>
      </c>
      <c r="L1102" s="37" t="s">
        <v>790</v>
      </c>
    </row>
    <row r="1103" spans="1:12" x14ac:dyDescent="0.2">
      <c r="A1103" t="s">
        <v>791</v>
      </c>
      <c r="B1103" t="s">
        <v>792</v>
      </c>
      <c r="C1103" t="s">
        <v>793</v>
      </c>
      <c r="D1103">
        <v>1.4</v>
      </c>
      <c r="E1103">
        <v>1.19</v>
      </c>
      <c r="G1103">
        <v>0.24510000000000001</v>
      </c>
      <c r="H1103" t="s">
        <v>757</v>
      </c>
      <c r="K1103" t="s">
        <v>794</v>
      </c>
      <c r="L1103" t="s">
        <v>759</v>
      </c>
    </row>
    <row r="1104" spans="1:12" x14ac:dyDescent="0.2">
      <c r="A1104" t="s">
        <v>795</v>
      </c>
      <c r="B1104" t="s">
        <v>796</v>
      </c>
      <c r="C1104" t="s">
        <v>145</v>
      </c>
      <c r="D1104">
        <v>1.34</v>
      </c>
      <c r="E1104">
        <v>0.85</v>
      </c>
      <c r="F1104">
        <v>7.28</v>
      </c>
      <c r="H1104" t="s">
        <v>7</v>
      </c>
      <c r="I1104" t="s">
        <v>797</v>
      </c>
      <c r="K1104" t="s">
        <v>798</v>
      </c>
      <c r="L1104" t="s">
        <v>799</v>
      </c>
    </row>
    <row r="1105" spans="1:12" x14ac:dyDescent="0.2">
      <c r="A1105" t="s">
        <v>800</v>
      </c>
      <c r="B1105" t="s">
        <v>801</v>
      </c>
      <c r="C1105" t="s">
        <v>145</v>
      </c>
      <c r="D1105">
        <v>1.36</v>
      </c>
      <c r="E1105">
        <v>0.86</v>
      </c>
      <c r="F1105">
        <v>5.87</v>
      </c>
      <c r="H1105" t="s">
        <v>7</v>
      </c>
      <c r="I1105" t="s">
        <v>802</v>
      </c>
      <c r="K1105" t="s">
        <v>803</v>
      </c>
      <c r="L1105" t="s">
        <v>804</v>
      </c>
    </row>
    <row r="1106" spans="1:12" x14ac:dyDescent="0.2">
      <c r="A1106" t="s">
        <v>805</v>
      </c>
      <c r="B1106" t="s">
        <v>806</v>
      </c>
      <c r="C1106" t="s">
        <v>145</v>
      </c>
      <c r="D1106">
        <v>1.02</v>
      </c>
      <c r="E1106">
        <v>0.5</v>
      </c>
      <c r="F1106">
        <v>5.38</v>
      </c>
      <c r="H1106" t="s">
        <v>7</v>
      </c>
      <c r="I1106" t="s">
        <v>807</v>
      </c>
      <c r="K1106" t="s">
        <v>808</v>
      </c>
      <c r="L1106" t="s">
        <v>809</v>
      </c>
    </row>
    <row r="1107" spans="1:12" x14ac:dyDescent="0.2">
      <c r="A1107" t="s">
        <v>810</v>
      </c>
      <c r="B1107" t="s">
        <v>811</v>
      </c>
      <c r="C1107" t="s">
        <v>145</v>
      </c>
      <c r="D1107">
        <v>1.04</v>
      </c>
      <c r="E1107">
        <v>0.51</v>
      </c>
      <c r="F1107">
        <v>6.91</v>
      </c>
      <c r="H1107" t="s">
        <v>7</v>
      </c>
      <c r="I1107" t="s">
        <v>812</v>
      </c>
      <c r="K1107" t="s">
        <v>808</v>
      </c>
      <c r="L1107" t="s">
        <v>813</v>
      </c>
    </row>
    <row r="1108" spans="1:12" x14ac:dyDescent="0.2">
      <c r="A1108" t="s">
        <v>814</v>
      </c>
      <c r="B1108" t="s">
        <v>815</v>
      </c>
      <c r="C1108" t="s">
        <v>145</v>
      </c>
      <c r="D1108">
        <v>0.94</v>
      </c>
      <c r="E1108">
        <v>0.52</v>
      </c>
      <c r="F1108">
        <v>7.29</v>
      </c>
      <c r="H1108" t="s">
        <v>7</v>
      </c>
      <c r="I1108" t="s">
        <v>816</v>
      </c>
      <c r="K1108" t="s">
        <v>808</v>
      </c>
      <c r="L1108" t="s">
        <v>817</v>
      </c>
    </row>
    <row r="1109" spans="1:12" x14ac:dyDescent="0.2">
      <c r="A1109" t="s">
        <v>818</v>
      </c>
      <c r="B1109" t="s">
        <v>819</v>
      </c>
      <c r="C1109" t="s">
        <v>145</v>
      </c>
      <c r="D1109">
        <v>1.05</v>
      </c>
      <c r="E1109">
        <v>0.62</v>
      </c>
      <c r="F1109">
        <v>8.61</v>
      </c>
      <c r="H1109" t="s">
        <v>7</v>
      </c>
      <c r="I1109" t="s">
        <v>820</v>
      </c>
      <c r="K1109" t="s">
        <v>808</v>
      </c>
      <c r="L1109" t="s">
        <v>821</v>
      </c>
    </row>
    <row r="1110" spans="1:12" x14ac:dyDescent="0.2">
      <c r="A1110" t="s">
        <v>822</v>
      </c>
      <c r="B1110" t="s">
        <v>823</v>
      </c>
      <c r="C1110" t="s">
        <v>145</v>
      </c>
      <c r="D1110">
        <v>0.28000000000000003</v>
      </c>
      <c r="E1110">
        <v>0.08</v>
      </c>
      <c r="F1110">
        <v>5.85</v>
      </c>
      <c r="H1110" t="s">
        <v>7</v>
      </c>
      <c r="I1110" t="s">
        <v>824</v>
      </c>
      <c r="K1110" t="s">
        <v>808</v>
      </c>
      <c r="L1110" t="s">
        <v>825</v>
      </c>
    </row>
    <row r="1111" spans="1:12" x14ac:dyDescent="0.2">
      <c r="A1111" t="s">
        <v>826</v>
      </c>
      <c r="B1111" t="s">
        <v>827</v>
      </c>
      <c r="C1111" t="s">
        <v>145</v>
      </c>
      <c r="D1111">
        <v>0.26</v>
      </c>
      <c r="E1111">
        <v>7.0000000000000007E-2</v>
      </c>
      <c r="F1111">
        <v>7.29</v>
      </c>
      <c r="H1111" t="s">
        <v>7</v>
      </c>
      <c r="I1111" t="s">
        <v>828</v>
      </c>
      <c r="K1111" t="s">
        <v>808</v>
      </c>
      <c r="L1111" t="s">
        <v>829</v>
      </c>
    </row>
  </sheetData>
  <autoFilter ref="A1:L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32"/>
  <sheetViews>
    <sheetView tabSelected="1" zoomScaleNormal="100" workbookViewId="0">
      <pane ySplit="1" topLeftCell="A1548" activePane="bottomLeft" state="frozen"/>
      <selection pane="bottomLeft" activeCell="C1732" sqref="C1732"/>
    </sheetView>
  </sheetViews>
  <sheetFormatPr baseColWidth="10" defaultColWidth="8.6640625" defaultRowHeight="15" x14ac:dyDescent="0.2"/>
  <cols>
    <col min="1" max="1" width="35" customWidth="1"/>
    <col min="2" max="2" width="45" customWidth="1"/>
    <col min="3" max="3" width="22" customWidth="1"/>
    <col min="4" max="4" width="18" customWidth="1"/>
    <col min="5" max="5" width="16" customWidth="1"/>
    <col min="6" max="6" width="50" customWidth="1"/>
  </cols>
  <sheetData>
    <row r="1" spans="1:6" ht="19.5" customHeight="1" x14ac:dyDescent="0.2">
      <c r="A1" s="1" t="s">
        <v>830</v>
      </c>
      <c r="B1" s="1" t="s">
        <v>19</v>
      </c>
      <c r="C1" s="1" t="s">
        <v>831</v>
      </c>
      <c r="D1" s="1" t="s">
        <v>138</v>
      </c>
      <c r="E1" s="1" t="s">
        <v>832</v>
      </c>
      <c r="F1" s="1" t="s">
        <v>141</v>
      </c>
    </row>
    <row r="2" spans="1:6" ht="15" customHeight="1" x14ac:dyDescent="0.2">
      <c r="A2" s="3" t="s">
        <v>833</v>
      </c>
      <c r="B2" s="3" t="s">
        <v>834</v>
      </c>
      <c r="C2" s="3" t="s">
        <v>835</v>
      </c>
      <c r="D2" s="13" t="s">
        <v>836</v>
      </c>
      <c r="E2" s="2" t="s">
        <v>837</v>
      </c>
      <c r="F2" s="3" t="s">
        <v>838</v>
      </c>
    </row>
    <row r="3" spans="1:6" ht="15" customHeight="1" x14ac:dyDescent="0.2">
      <c r="A3" s="9" t="s">
        <v>839</v>
      </c>
      <c r="B3" s="9" t="s">
        <v>840</v>
      </c>
      <c r="C3" s="9" t="s">
        <v>835</v>
      </c>
      <c r="D3" s="13" t="s">
        <v>836</v>
      </c>
      <c r="E3" s="8" t="s">
        <v>837</v>
      </c>
      <c r="F3" s="9" t="s">
        <v>841</v>
      </c>
    </row>
    <row r="4" spans="1:6" ht="15" customHeight="1" x14ac:dyDescent="0.2">
      <c r="A4" s="3" t="s">
        <v>842</v>
      </c>
      <c r="B4" s="3" t="s">
        <v>843</v>
      </c>
      <c r="C4" s="3" t="s">
        <v>835</v>
      </c>
      <c r="D4" s="13" t="s">
        <v>836</v>
      </c>
      <c r="E4" s="2" t="s">
        <v>837</v>
      </c>
      <c r="F4" s="3" t="s">
        <v>844</v>
      </c>
    </row>
    <row r="5" spans="1:6" ht="15" customHeight="1" x14ac:dyDescent="0.2">
      <c r="A5" s="9" t="s">
        <v>845</v>
      </c>
      <c r="B5" s="9" t="s">
        <v>846</v>
      </c>
      <c r="C5" s="9" t="s">
        <v>835</v>
      </c>
      <c r="D5" s="13" t="s">
        <v>836</v>
      </c>
      <c r="E5" s="8" t="s">
        <v>837</v>
      </c>
      <c r="F5" s="9" t="s">
        <v>847</v>
      </c>
    </row>
    <row r="6" spans="1:6" ht="15" customHeight="1" x14ac:dyDescent="0.2">
      <c r="A6" s="3" t="s">
        <v>848</v>
      </c>
      <c r="B6" s="3" t="s">
        <v>849</v>
      </c>
      <c r="C6" s="3" t="s">
        <v>835</v>
      </c>
      <c r="D6" s="13" t="s">
        <v>836</v>
      </c>
      <c r="E6" s="2" t="s">
        <v>837</v>
      </c>
      <c r="F6" s="3" t="s">
        <v>847</v>
      </c>
    </row>
    <row r="7" spans="1:6" ht="15" customHeight="1" x14ac:dyDescent="0.2">
      <c r="A7" s="9" t="s">
        <v>850</v>
      </c>
      <c r="B7" s="9" t="s">
        <v>851</v>
      </c>
      <c r="C7" s="9" t="s">
        <v>835</v>
      </c>
      <c r="D7" s="8"/>
      <c r="E7" s="8"/>
      <c r="F7" s="9"/>
    </row>
    <row r="8" spans="1:6" ht="15" customHeight="1" x14ac:dyDescent="0.2">
      <c r="A8" s="3" t="s">
        <v>852</v>
      </c>
      <c r="B8" s="3" t="s">
        <v>853</v>
      </c>
      <c r="C8" s="3" t="s">
        <v>835</v>
      </c>
      <c r="D8" s="2" t="s">
        <v>854</v>
      </c>
      <c r="E8" s="2" t="s">
        <v>855</v>
      </c>
      <c r="F8" s="3" t="s">
        <v>856</v>
      </c>
    </row>
    <row r="9" spans="1:6" ht="15" customHeight="1" x14ac:dyDescent="0.2">
      <c r="A9" s="9" t="s">
        <v>857</v>
      </c>
      <c r="B9" s="9" t="s">
        <v>858</v>
      </c>
      <c r="C9" s="9" t="s">
        <v>835</v>
      </c>
      <c r="D9" s="8" t="s">
        <v>854</v>
      </c>
      <c r="E9" s="8" t="s">
        <v>855</v>
      </c>
      <c r="F9" s="9" t="s">
        <v>859</v>
      </c>
    </row>
    <row r="10" spans="1:6" ht="15" customHeight="1" x14ac:dyDescent="0.2">
      <c r="A10" s="3" t="s">
        <v>860</v>
      </c>
      <c r="B10" s="3" t="s">
        <v>861</v>
      </c>
      <c r="C10" s="3" t="s">
        <v>862</v>
      </c>
      <c r="D10" s="13" t="s">
        <v>836</v>
      </c>
      <c r="E10" s="2" t="s">
        <v>837</v>
      </c>
      <c r="F10" s="3" t="s">
        <v>863</v>
      </c>
    </row>
    <row r="11" spans="1:6" ht="15" customHeight="1" x14ac:dyDescent="0.2">
      <c r="A11" s="9" t="s">
        <v>864</v>
      </c>
      <c r="B11" s="9" t="s">
        <v>865</v>
      </c>
      <c r="C11" s="9" t="s">
        <v>862</v>
      </c>
      <c r="D11" s="13" t="s">
        <v>836</v>
      </c>
      <c r="E11" s="8" t="s">
        <v>837</v>
      </c>
      <c r="F11" s="9" t="s">
        <v>866</v>
      </c>
    </row>
    <row r="12" spans="1:6" ht="15" customHeight="1" x14ac:dyDescent="0.2">
      <c r="A12" s="3" t="s">
        <v>867</v>
      </c>
      <c r="B12" s="3" t="s">
        <v>868</v>
      </c>
      <c r="C12" s="3" t="s">
        <v>869</v>
      </c>
      <c r="D12" s="7" t="s">
        <v>870</v>
      </c>
      <c r="E12" s="2" t="s">
        <v>855</v>
      </c>
      <c r="F12" s="3" t="s">
        <v>871</v>
      </c>
    </row>
    <row r="13" spans="1:6" ht="15" customHeight="1" x14ac:dyDescent="0.2">
      <c r="A13" s="9" t="s">
        <v>872</v>
      </c>
      <c r="B13" s="9" t="s">
        <v>873</v>
      </c>
      <c r="C13" s="9" t="s">
        <v>869</v>
      </c>
      <c r="D13" s="7" t="s">
        <v>870</v>
      </c>
      <c r="E13" s="8" t="s">
        <v>874</v>
      </c>
      <c r="F13" s="9" t="s">
        <v>875</v>
      </c>
    </row>
    <row r="14" spans="1:6" ht="15" customHeight="1" x14ac:dyDescent="0.2">
      <c r="A14" s="3" t="s">
        <v>876</v>
      </c>
      <c r="B14" s="3" t="s">
        <v>877</v>
      </c>
      <c r="C14" s="3" t="s">
        <v>869</v>
      </c>
      <c r="D14" s="7" t="s">
        <v>870</v>
      </c>
      <c r="E14" s="2" t="s">
        <v>874</v>
      </c>
      <c r="F14" s="3" t="s">
        <v>878</v>
      </c>
    </row>
    <row r="15" spans="1:6" ht="15" customHeight="1" x14ac:dyDescent="0.2">
      <c r="A15" s="9" t="s">
        <v>879</v>
      </c>
      <c r="B15" s="9" t="s">
        <v>880</v>
      </c>
      <c r="C15" s="9" t="s">
        <v>869</v>
      </c>
      <c r="D15" s="7" t="s">
        <v>870</v>
      </c>
      <c r="E15" s="8" t="s">
        <v>874</v>
      </c>
      <c r="F15" s="9" t="s">
        <v>881</v>
      </c>
    </row>
    <row r="16" spans="1:6" ht="15" customHeight="1" x14ac:dyDescent="0.2">
      <c r="A16" s="3" t="s">
        <v>882</v>
      </c>
      <c r="B16" s="3" t="s">
        <v>883</v>
      </c>
      <c r="C16" s="3" t="s">
        <v>869</v>
      </c>
      <c r="D16" s="7" t="s">
        <v>870</v>
      </c>
      <c r="E16" s="2" t="s">
        <v>874</v>
      </c>
      <c r="F16" s="3" t="s">
        <v>884</v>
      </c>
    </row>
    <row r="17" spans="1:6" ht="15" customHeight="1" x14ac:dyDescent="0.2">
      <c r="A17" s="9" t="s">
        <v>885</v>
      </c>
      <c r="B17" s="9" t="s">
        <v>886</v>
      </c>
      <c r="C17" s="9" t="s">
        <v>887</v>
      </c>
      <c r="D17" s="7" t="s">
        <v>870</v>
      </c>
      <c r="E17" s="8" t="s">
        <v>874</v>
      </c>
      <c r="F17" s="9" t="s">
        <v>888</v>
      </c>
    </row>
    <row r="18" spans="1:6" ht="15" customHeight="1" x14ac:dyDescent="0.2">
      <c r="A18" s="3" t="s">
        <v>889</v>
      </c>
      <c r="B18" s="3" t="s">
        <v>890</v>
      </c>
      <c r="C18" s="3" t="s">
        <v>891</v>
      </c>
      <c r="D18" s="2" t="s">
        <v>892</v>
      </c>
      <c r="E18" s="2" t="s">
        <v>893</v>
      </c>
      <c r="F18" s="3" t="s">
        <v>894</v>
      </c>
    </row>
    <row r="19" spans="1:6" ht="15" customHeight="1" x14ac:dyDescent="0.2">
      <c r="A19" s="9" t="s">
        <v>895</v>
      </c>
      <c r="B19" s="9" t="s">
        <v>896</v>
      </c>
      <c r="C19" s="9" t="s">
        <v>869</v>
      </c>
      <c r="D19" s="7" t="s">
        <v>870</v>
      </c>
      <c r="E19" s="8" t="s">
        <v>874</v>
      </c>
      <c r="F19" s="9" t="s">
        <v>897</v>
      </c>
    </row>
    <row r="20" spans="1:6" ht="15" customHeight="1" x14ac:dyDescent="0.2">
      <c r="A20" s="3" t="s">
        <v>898</v>
      </c>
      <c r="B20" s="3" t="s">
        <v>899</v>
      </c>
      <c r="C20" s="3" t="s">
        <v>869</v>
      </c>
      <c r="D20" s="7" t="s">
        <v>870</v>
      </c>
      <c r="E20" s="2" t="s">
        <v>874</v>
      </c>
      <c r="F20" s="3" t="s">
        <v>900</v>
      </c>
    </row>
    <row r="21" spans="1:6" ht="15" customHeight="1" x14ac:dyDescent="0.2">
      <c r="A21" s="9" t="s">
        <v>901</v>
      </c>
      <c r="B21" s="9" t="s">
        <v>902</v>
      </c>
      <c r="C21" s="9" t="s">
        <v>869</v>
      </c>
      <c r="D21" s="8"/>
      <c r="E21" s="8"/>
      <c r="F21" s="9"/>
    </row>
    <row r="22" spans="1:6" ht="15" customHeight="1" x14ac:dyDescent="0.2">
      <c r="A22" s="3" t="s">
        <v>903</v>
      </c>
      <c r="B22" s="3" t="s">
        <v>904</v>
      </c>
      <c r="C22" s="3" t="s">
        <v>869</v>
      </c>
      <c r="D22" s="7" t="s">
        <v>870</v>
      </c>
      <c r="E22" s="2" t="s">
        <v>874</v>
      </c>
      <c r="F22" s="3" t="s">
        <v>897</v>
      </c>
    </row>
    <row r="23" spans="1:6" ht="15" customHeight="1" x14ac:dyDescent="0.2">
      <c r="A23" s="9" t="s">
        <v>905</v>
      </c>
      <c r="B23" s="9" t="s">
        <v>906</v>
      </c>
      <c r="C23" s="9" t="s">
        <v>869</v>
      </c>
      <c r="D23" s="8"/>
      <c r="E23" s="8"/>
      <c r="F23" s="9"/>
    </row>
    <row r="24" spans="1:6" ht="15" customHeight="1" x14ac:dyDescent="0.2">
      <c r="A24" s="3" t="s">
        <v>907</v>
      </c>
      <c r="B24" s="3" t="s">
        <v>908</v>
      </c>
      <c r="C24" s="3" t="s">
        <v>869</v>
      </c>
      <c r="D24" s="2"/>
      <c r="E24" s="2"/>
      <c r="F24" s="3"/>
    </row>
    <row r="25" spans="1:6" ht="15" customHeight="1" x14ac:dyDescent="0.2">
      <c r="A25" s="9" t="s">
        <v>909</v>
      </c>
      <c r="B25" s="9" t="s">
        <v>910</v>
      </c>
      <c r="C25" s="9" t="s">
        <v>869</v>
      </c>
      <c r="D25" s="8"/>
      <c r="E25" s="8"/>
      <c r="F25" s="9"/>
    </row>
    <row r="26" spans="1:6" ht="15" customHeight="1" x14ac:dyDescent="0.2">
      <c r="A26" s="3" t="s">
        <v>911</v>
      </c>
      <c r="B26" s="3" t="s">
        <v>883</v>
      </c>
      <c r="C26" s="3" t="s">
        <v>869</v>
      </c>
      <c r="D26" s="2"/>
      <c r="E26" s="2"/>
      <c r="F26" s="3"/>
    </row>
    <row r="27" spans="1:6" ht="15" customHeight="1" x14ac:dyDescent="0.2">
      <c r="A27" s="9" t="s">
        <v>912</v>
      </c>
      <c r="B27" s="9" t="s">
        <v>873</v>
      </c>
      <c r="C27" s="9" t="s">
        <v>869</v>
      </c>
      <c r="D27" s="8"/>
      <c r="E27" s="8"/>
      <c r="F27" s="9"/>
    </row>
    <row r="28" spans="1:6" ht="15" customHeight="1" x14ac:dyDescent="0.2">
      <c r="A28" s="3" t="s">
        <v>913</v>
      </c>
      <c r="B28" s="3" t="s">
        <v>880</v>
      </c>
      <c r="C28" s="3" t="s">
        <v>869</v>
      </c>
      <c r="D28" s="2"/>
      <c r="E28" s="2"/>
      <c r="F28" s="3"/>
    </row>
    <row r="29" spans="1:6" ht="15" customHeight="1" x14ac:dyDescent="0.2">
      <c r="A29" s="9" t="s">
        <v>914</v>
      </c>
      <c r="B29" s="9" t="s">
        <v>868</v>
      </c>
      <c r="C29" s="9" t="s">
        <v>869</v>
      </c>
      <c r="D29" s="8"/>
      <c r="E29" s="8"/>
      <c r="F29" s="9"/>
    </row>
    <row r="30" spans="1:6" ht="15" customHeight="1" x14ac:dyDescent="0.2">
      <c r="A30" s="3" t="s">
        <v>915</v>
      </c>
      <c r="B30" s="3" t="s">
        <v>877</v>
      </c>
      <c r="C30" s="3" t="s">
        <v>869</v>
      </c>
      <c r="D30" s="2"/>
      <c r="E30" s="2"/>
      <c r="F30" s="3"/>
    </row>
    <row r="31" spans="1:6" ht="15" customHeight="1" x14ac:dyDescent="0.2">
      <c r="A31" s="9" t="s">
        <v>916</v>
      </c>
      <c r="B31" s="9" t="s">
        <v>880</v>
      </c>
      <c r="C31" s="9" t="s">
        <v>869</v>
      </c>
      <c r="D31" s="8"/>
      <c r="E31" s="8"/>
      <c r="F31" s="9"/>
    </row>
    <row r="32" spans="1:6" ht="15" customHeight="1" x14ac:dyDescent="0.2">
      <c r="A32" s="3" t="s">
        <v>917</v>
      </c>
      <c r="B32" s="3" t="s">
        <v>918</v>
      </c>
      <c r="C32" s="3" t="s">
        <v>869</v>
      </c>
      <c r="D32" s="2"/>
      <c r="E32" s="2"/>
      <c r="F32" s="3"/>
    </row>
    <row r="33" spans="1:6" ht="15" customHeight="1" x14ac:dyDescent="0.2">
      <c r="A33" s="9" t="s">
        <v>919</v>
      </c>
      <c r="B33" s="9" t="s">
        <v>904</v>
      </c>
      <c r="C33" s="9" t="s">
        <v>869</v>
      </c>
      <c r="D33" s="8"/>
      <c r="E33" s="8"/>
      <c r="F33" s="9"/>
    </row>
    <row r="34" spans="1:6" ht="15" customHeight="1" x14ac:dyDescent="0.2">
      <c r="A34" s="3" t="s">
        <v>920</v>
      </c>
      <c r="B34" s="3" t="s">
        <v>921</v>
      </c>
      <c r="C34" s="3" t="s">
        <v>887</v>
      </c>
      <c r="D34" s="2"/>
      <c r="E34" s="2"/>
      <c r="F34" s="3"/>
    </row>
    <row r="35" spans="1:6" ht="15" customHeight="1" x14ac:dyDescent="0.2">
      <c r="A35" s="9" t="s">
        <v>922</v>
      </c>
      <c r="B35" s="9" t="s">
        <v>923</v>
      </c>
      <c r="C35" s="9" t="s">
        <v>887</v>
      </c>
      <c r="D35" s="8"/>
      <c r="E35" s="8"/>
      <c r="F35" s="9"/>
    </row>
    <row r="36" spans="1:6" ht="15" customHeight="1" x14ac:dyDescent="0.2">
      <c r="A36" s="3" t="s">
        <v>924</v>
      </c>
      <c r="B36" s="3" t="s">
        <v>925</v>
      </c>
      <c r="C36" s="3" t="s">
        <v>887</v>
      </c>
      <c r="D36" s="2"/>
      <c r="E36" s="2"/>
      <c r="F36" s="3"/>
    </row>
    <row r="37" spans="1:6" ht="15" customHeight="1" x14ac:dyDescent="0.2">
      <c r="A37" s="9" t="s">
        <v>926</v>
      </c>
      <c r="B37" s="9" t="s">
        <v>927</v>
      </c>
      <c r="C37" s="9" t="s">
        <v>887</v>
      </c>
      <c r="D37" s="8"/>
      <c r="E37" s="8"/>
      <c r="F37" s="9"/>
    </row>
    <row r="38" spans="1:6" ht="15" customHeight="1" x14ac:dyDescent="0.2">
      <c r="A38" s="3" t="s">
        <v>928</v>
      </c>
      <c r="B38" s="3" t="s">
        <v>929</v>
      </c>
      <c r="C38" s="3" t="s">
        <v>887</v>
      </c>
      <c r="D38" s="2"/>
      <c r="E38" s="2"/>
      <c r="F38" s="3"/>
    </row>
    <row r="39" spans="1:6" ht="15" customHeight="1" x14ac:dyDescent="0.2">
      <c r="A39" s="9" t="s">
        <v>930</v>
      </c>
      <c r="B39" s="9" t="s">
        <v>931</v>
      </c>
      <c r="C39" s="9" t="s">
        <v>887</v>
      </c>
      <c r="D39" s="8"/>
      <c r="E39" s="8"/>
      <c r="F39" s="9"/>
    </row>
    <row r="40" spans="1:6" ht="15" customHeight="1" x14ac:dyDescent="0.2">
      <c r="A40" s="3" t="s">
        <v>932</v>
      </c>
      <c r="B40" s="3" t="s">
        <v>933</v>
      </c>
      <c r="C40" s="3" t="s">
        <v>887</v>
      </c>
      <c r="D40" s="2"/>
      <c r="E40" s="2"/>
      <c r="F40" s="3"/>
    </row>
    <row r="41" spans="1:6" ht="15" customHeight="1" x14ac:dyDescent="0.2">
      <c r="A41" s="9" t="s">
        <v>934</v>
      </c>
      <c r="B41" s="9" t="s">
        <v>935</v>
      </c>
      <c r="C41" s="9" t="s">
        <v>887</v>
      </c>
      <c r="D41" s="8"/>
      <c r="E41" s="8"/>
      <c r="F41" s="9"/>
    </row>
    <row r="42" spans="1:6" ht="15" customHeight="1" x14ac:dyDescent="0.2">
      <c r="A42" s="3" t="s">
        <v>936</v>
      </c>
      <c r="B42" s="3" t="s">
        <v>937</v>
      </c>
      <c r="C42" s="3" t="s">
        <v>887</v>
      </c>
      <c r="D42" s="2"/>
      <c r="E42" s="2"/>
      <c r="F42" s="3"/>
    </row>
    <row r="43" spans="1:6" ht="15" customHeight="1" x14ac:dyDescent="0.2">
      <c r="A43" s="9" t="s">
        <v>938</v>
      </c>
      <c r="B43" s="9" t="s">
        <v>939</v>
      </c>
      <c r="C43" s="9" t="s">
        <v>887</v>
      </c>
      <c r="D43" s="8"/>
      <c r="E43" s="8"/>
      <c r="F43" s="9"/>
    </row>
    <row r="44" spans="1:6" ht="15" customHeight="1" x14ac:dyDescent="0.2">
      <c r="A44" s="3" t="s">
        <v>940</v>
      </c>
      <c r="B44" s="3" t="s">
        <v>941</v>
      </c>
      <c r="C44" s="3" t="s">
        <v>887</v>
      </c>
      <c r="D44" s="2"/>
      <c r="E44" s="2"/>
      <c r="F44" s="3"/>
    </row>
    <row r="45" spans="1:6" ht="15" customHeight="1" x14ac:dyDescent="0.2">
      <c r="A45" s="9" t="s">
        <v>942</v>
      </c>
      <c r="B45" s="9" t="s">
        <v>943</v>
      </c>
      <c r="C45" s="9" t="s">
        <v>887</v>
      </c>
      <c r="D45" s="8"/>
      <c r="E45" s="8"/>
      <c r="F45" s="9"/>
    </row>
    <row r="46" spans="1:6" ht="15" customHeight="1" x14ac:dyDescent="0.2">
      <c r="A46" s="3" t="s">
        <v>944</v>
      </c>
      <c r="B46" s="3" t="s">
        <v>945</v>
      </c>
      <c r="C46" s="3" t="s">
        <v>887</v>
      </c>
      <c r="D46" s="2"/>
      <c r="E46" s="2"/>
      <c r="F46" s="3"/>
    </row>
    <row r="47" spans="1:6" ht="15" customHeight="1" x14ac:dyDescent="0.2">
      <c r="A47" s="9" t="s">
        <v>946</v>
      </c>
      <c r="B47" s="9" t="s">
        <v>947</v>
      </c>
      <c r="C47" s="9" t="s">
        <v>887</v>
      </c>
      <c r="D47" s="8"/>
      <c r="E47" s="8"/>
      <c r="F47" s="9"/>
    </row>
    <row r="48" spans="1:6" ht="15" customHeight="1" x14ac:dyDescent="0.2">
      <c r="A48" s="3" t="s">
        <v>948</v>
      </c>
      <c r="B48" s="3" t="s">
        <v>949</v>
      </c>
      <c r="C48" s="3" t="s">
        <v>887</v>
      </c>
      <c r="D48" s="2"/>
      <c r="E48" s="2"/>
      <c r="F48" s="3"/>
    </row>
    <row r="49" spans="1:6" ht="15" customHeight="1" x14ac:dyDescent="0.2">
      <c r="A49" s="9" t="s">
        <v>950</v>
      </c>
      <c r="B49" s="9" t="s">
        <v>951</v>
      </c>
      <c r="C49" s="9" t="s">
        <v>887</v>
      </c>
      <c r="D49" s="8"/>
      <c r="E49" s="8"/>
      <c r="F49" s="9"/>
    </row>
    <row r="50" spans="1:6" ht="15" customHeight="1" x14ac:dyDescent="0.2">
      <c r="A50" s="3" t="s">
        <v>952</v>
      </c>
      <c r="B50" s="3" t="s">
        <v>953</v>
      </c>
      <c r="C50" s="3" t="s">
        <v>891</v>
      </c>
      <c r="D50" s="2"/>
      <c r="E50" s="2"/>
      <c r="F50" s="3"/>
    </row>
    <row r="51" spans="1:6" ht="15" customHeight="1" x14ac:dyDescent="0.2">
      <c r="A51" s="9" t="s">
        <v>954</v>
      </c>
      <c r="B51" s="9" t="s">
        <v>955</v>
      </c>
      <c r="C51" s="9" t="s">
        <v>891</v>
      </c>
      <c r="D51" s="8"/>
      <c r="E51" s="8"/>
      <c r="F51" s="9"/>
    </row>
    <row r="52" spans="1:6" ht="15" customHeight="1" x14ac:dyDescent="0.2">
      <c r="A52" s="3" t="s">
        <v>956</v>
      </c>
      <c r="B52" s="3" t="s">
        <v>957</v>
      </c>
      <c r="C52" s="3" t="s">
        <v>891</v>
      </c>
      <c r="D52" s="2"/>
      <c r="E52" s="2"/>
      <c r="F52" s="3"/>
    </row>
    <row r="53" spans="1:6" ht="15" customHeight="1" x14ac:dyDescent="0.2">
      <c r="A53" s="9" t="s">
        <v>958</v>
      </c>
      <c r="B53" s="9" t="s">
        <v>959</v>
      </c>
      <c r="C53" s="9" t="s">
        <v>891</v>
      </c>
      <c r="D53" s="8"/>
      <c r="E53" s="8"/>
      <c r="F53" s="9"/>
    </row>
    <row r="54" spans="1:6" ht="15" customHeight="1" x14ac:dyDescent="0.2">
      <c r="A54" s="3" t="s">
        <v>960</v>
      </c>
      <c r="B54" s="3" t="s">
        <v>961</v>
      </c>
      <c r="C54" s="3" t="s">
        <v>891</v>
      </c>
      <c r="D54" s="2"/>
      <c r="E54" s="2"/>
      <c r="F54" s="3"/>
    </row>
    <row r="55" spans="1:6" ht="15" customHeight="1" x14ac:dyDescent="0.2">
      <c r="A55" s="9" t="s">
        <v>962</v>
      </c>
      <c r="B55" s="9" t="s">
        <v>963</v>
      </c>
      <c r="C55" s="9" t="s">
        <v>891</v>
      </c>
      <c r="D55" s="8"/>
      <c r="E55" s="8"/>
      <c r="F55" s="9"/>
    </row>
    <row r="56" spans="1:6" ht="15" customHeight="1" x14ac:dyDescent="0.2">
      <c r="A56" s="3" t="s">
        <v>964</v>
      </c>
      <c r="B56" s="3" t="s">
        <v>965</v>
      </c>
      <c r="C56" s="3" t="s">
        <v>891</v>
      </c>
      <c r="D56" s="2"/>
      <c r="E56" s="2"/>
      <c r="F56" s="3"/>
    </row>
    <row r="57" spans="1:6" ht="15" customHeight="1" x14ac:dyDescent="0.2">
      <c r="A57" s="9" t="s">
        <v>966</v>
      </c>
      <c r="B57" s="9" t="s">
        <v>967</v>
      </c>
      <c r="C57" s="9" t="s">
        <v>891</v>
      </c>
      <c r="D57" s="8"/>
      <c r="E57" s="8"/>
      <c r="F57" s="9"/>
    </row>
    <row r="58" spans="1:6" ht="15" customHeight="1" x14ac:dyDescent="0.2">
      <c r="A58" s="3" t="s">
        <v>968</v>
      </c>
      <c r="B58" s="3" t="s">
        <v>969</v>
      </c>
      <c r="C58" s="3" t="s">
        <v>891</v>
      </c>
      <c r="D58" s="2"/>
      <c r="E58" s="2"/>
      <c r="F58" s="3"/>
    </row>
    <row r="59" spans="1:6" ht="15" customHeight="1" x14ac:dyDescent="0.2">
      <c r="A59" s="9" t="s">
        <v>970</v>
      </c>
      <c r="B59" s="9" t="s">
        <v>971</v>
      </c>
      <c r="C59" s="9" t="s">
        <v>891</v>
      </c>
      <c r="D59" s="8"/>
      <c r="E59" s="8"/>
      <c r="F59" s="9"/>
    </row>
    <row r="60" spans="1:6" ht="15" customHeight="1" x14ac:dyDescent="0.2">
      <c r="A60" s="3" t="s">
        <v>972</v>
      </c>
      <c r="B60" s="3" t="s">
        <v>973</v>
      </c>
      <c r="C60" s="3" t="s">
        <v>891</v>
      </c>
      <c r="D60" s="2"/>
      <c r="E60" s="2"/>
      <c r="F60" s="3"/>
    </row>
    <row r="61" spans="1:6" ht="15" customHeight="1" x14ac:dyDescent="0.2">
      <c r="A61" s="9" t="s">
        <v>974</v>
      </c>
      <c r="B61" s="9" t="s">
        <v>975</v>
      </c>
      <c r="C61" s="9" t="s">
        <v>891</v>
      </c>
      <c r="D61" s="8"/>
      <c r="E61" s="8"/>
      <c r="F61" s="9"/>
    </row>
    <row r="62" spans="1:6" ht="15" customHeight="1" x14ac:dyDescent="0.2">
      <c r="A62" s="3" t="s">
        <v>976</v>
      </c>
      <c r="B62" s="3" t="s">
        <v>977</v>
      </c>
      <c r="C62" s="3" t="s">
        <v>891</v>
      </c>
      <c r="D62" s="2"/>
      <c r="E62" s="2"/>
      <c r="F62" s="3"/>
    </row>
    <row r="63" spans="1:6" ht="15" customHeight="1" x14ac:dyDescent="0.2">
      <c r="A63" s="9" t="s">
        <v>978</v>
      </c>
      <c r="B63" s="9" t="s">
        <v>979</v>
      </c>
      <c r="C63" s="9" t="s">
        <v>891</v>
      </c>
      <c r="D63" s="8"/>
      <c r="E63" s="8"/>
      <c r="F63" s="9"/>
    </row>
    <row r="64" spans="1:6" ht="15" customHeight="1" x14ac:dyDescent="0.2">
      <c r="A64" s="3" t="s">
        <v>980</v>
      </c>
      <c r="B64" s="3" t="s">
        <v>981</v>
      </c>
      <c r="C64" s="3" t="s">
        <v>891</v>
      </c>
      <c r="D64" s="2"/>
      <c r="E64" s="2"/>
      <c r="F64" s="3"/>
    </row>
    <row r="65" spans="1:6" ht="15" customHeight="1" x14ac:dyDescent="0.2">
      <c r="A65" s="9" t="s">
        <v>982</v>
      </c>
      <c r="B65" s="9" t="s">
        <v>983</v>
      </c>
      <c r="C65" s="9" t="s">
        <v>891</v>
      </c>
      <c r="D65" s="8"/>
      <c r="E65" s="8"/>
      <c r="F65" s="9"/>
    </row>
    <row r="66" spans="1:6" ht="15" customHeight="1" x14ac:dyDescent="0.2">
      <c r="A66" s="3" t="s">
        <v>984</v>
      </c>
      <c r="B66" s="3" t="s">
        <v>985</v>
      </c>
      <c r="C66" s="3" t="s">
        <v>891</v>
      </c>
      <c r="D66" s="2"/>
      <c r="E66" s="2"/>
      <c r="F66" s="3"/>
    </row>
    <row r="67" spans="1:6" ht="15" customHeight="1" x14ac:dyDescent="0.2">
      <c r="A67" s="9" t="s">
        <v>986</v>
      </c>
      <c r="B67" s="9" t="s">
        <v>987</v>
      </c>
      <c r="C67" s="9" t="s">
        <v>891</v>
      </c>
      <c r="D67" s="8"/>
      <c r="E67" s="8"/>
      <c r="F67" s="9"/>
    </row>
    <row r="68" spans="1:6" ht="15" customHeight="1" x14ac:dyDescent="0.2">
      <c r="A68" s="3" t="s">
        <v>988</v>
      </c>
      <c r="B68" s="3" t="s">
        <v>989</v>
      </c>
      <c r="C68" s="3" t="s">
        <v>891</v>
      </c>
      <c r="D68" s="2"/>
      <c r="E68" s="2"/>
      <c r="F68" s="3"/>
    </row>
    <row r="69" spans="1:6" ht="15" customHeight="1" x14ac:dyDescent="0.2">
      <c r="A69" s="9" t="s">
        <v>990</v>
      </c>
      <c r="B69" s="9" t="s">
        <v>991</v>
      </c>
      <c r="C69" s="9" t="s">
        <v>891</v>
      </c>
      <c r="D69" s="8"/>
      <c r="E69" s="8"/>
      <c r="F69" s="9"/>
    </row>
    <row r="70" spans="1:6" ht="15" customHeight="1" x14ac:dyDescent="0.2">
      <c r="A70" s="3" t="s">
        <v>992</v>
      </c>
      <c r="B70" s="3" t="s">
        <v>993</v>
      </c>
      <c r="C70" s="3" t="s">
        <v>891</v>
      </c>
      <c r="D70" s="2"/>
      <c r="E70" s="2"/>
      <c r="F70" s="3"/>
    </row>
    <row r="71" spans="1:6" ht="15" customHeight="1" x14ac:dyDescent="0.2">
      <c r="A71" s="9" t="s">
        <v>994</v>
      </c>
      <c r="B71" s="9" t="s">
        <v>995</v>
      </c>
      <c r="C71" s="9" t="s">
        <v>891</v>
      </c>
      <c r="D71" s="8"/>
      <c r="E71" s="8"/>
      <c r="F71" s="9"/>
    </row>
    <row r="72" spans="1:6" ht="15" customHeight="1" x14ac:dyDescent="0.2">
      <c r="A72" s="3" t="s">
        <v>996</v>
      </c>
      <c r="B72" s="3" t="s">
        <v>997</v>
      </c>
      <c r="C72" s="3" t="s">
        <v>891</v>
      </c>
      <c r="D72" s="2"/>
      <c r="E72" s="2"/>
      <c r="F72" s="3"/>
    </row>
    <row r="73" spans="1:6" ht="15" customHeight="1" x14ac:dyDescent="0.2">
      <c r="A73" s="9" t="s">
        <v>998</v>
      </c>
      <c r="B73" s="9" t="s">
        <v>999</v>
      </c>
      <c r="C73" s="9" t="s">
        <v>891</v>
      </c>
      <c r="D73" s="8"/>
      <c r="E73" s="8"/>
      <c r="F73" s="9"/>
    </row>
    <row r="74" spans="1:6" ht="15" customHeight="1" x14ac:dyDescent="0.2">
      <c r="A74" s="3" t="s">
        <v>1000</v>
      </c>
      <c r="B74" s="3" t="s">
        <v>1001</v>
      </c>
      <c r="C74" s="3" t="s">
        <v>891</v>
      </c>
      <c r="D74" s="2"/>
      <c r="E74" s="2"/>
      <c r="F74" s="3"/>
    </row>
    <row r="75" spans="1:6" ht="15" customHeight="1" x14ac:dyDescent="0.2">
      <c r="A75" s="9" t="s">
        <v>1002</v>
      </c>
      <c r="B75" s="9" t="s">
        <v>1003</v>
      </c>
      <c r="C75" s="9" t="s">
        <v>891</v>
      </c>
      <c r="D75" s="8"/>
      <c r="E75" s="8"/>
      <c r="F75" s="9"/>
    </row>
    <row r="76" spans="1:6" ht="15" customHeight="1" x14ac:dyDescent="0.2">
      <c r="A76" s="3" t="s">
        <v>1004</v>
      </c>
      <c r="B76" s="3" t="s">
        <v>1005</v>
      </c>
      <c r="C76" s="3" t="s">
        <v>891</v>
      </c>
      <c r="D76" s="2"/>
      <c r="E76" s="2"/>
      <c r="F76" s="3"/>
    </row>
    <row r="77" spans="1:6" ht="15" customHeight="1" x14ac:dyDescent="0.2">
      <c r="A77" s="9" t="s">
        <v>1006</v>
      </c>
      <c r="B77" s="9" t="s">
        <v>1007</v>
      </c>
      <c r="C77" s="9" t="s">
        <v>891</v>
      </c>
      <c r="D77" s="8"/>
      <c r="E77" s="8"/>
      <c r="F77" s="9"/>
    </row>
    <row r="78" spans="1:6" ht="15" customHeight="1" x14ac:dyDescent="0.2">
      <c r="A78" s="3" t="s">
        <v>1008</v>
      </c>
      <c r="B78" s="3" t="s">
        <v>1009</v>
      </c>
      <c r="C78" s="3" t="s">
        <v>891</v>
      </c>
      <c r="D78" s="2"/>
      <c r="E78" s="2"/>
      <c r="F78" s="3"/>
    </row>
    <row r="79" spans="1:6" ht="15" customHeight="1" x14ac:dyDescent="0.2">
      <c r="A79" s="9" t="s">
        <v>1010</v>
      </c>
      <c r="B79" s="9" t="s">
        <v>1011</v>
      </c>
      <c r="C79" s="9" t="s">
        <v>891</v>
      </c>
      <c r="D79" s="8"/>
      <c r="E79" s="8"/>
      <c r="F79" s="9"/>
    </row>
    <row r="80" spans="1:6" ht="15" customHeight="1" x14ac:dyDescent="0.2">
      <c r="A80" s="3" t="s">
        <v>1012</v>
      </c>
      <c r="B80" s="3" t="s">
        <v>1013</v>
      </c>
      <c r="C80" s="3" t="s">
        <v>891</v>
      </c>
      <c r="D80" s="2"/>
      <c r="E80" s="2"/>
      <c r="F80" s="3"/>
    </row>
    <row r="81" spans="1:6" ht="15" customHeight="1" x14ac:dyDescent="0.2">
      <c r="A81" s="9" t="s">
        <v>1014</v>
      </c>
      <c r="B81" s="9" t="s">
        <v>1015</v>
      </c>
      <c r="C81" s="9" t="s">
        <v>891</v>
      </c>
      <c r="D81" s="8"/>
      <c r="E81" s="8"/>
      <c r="F81" s="9"/>
    </row>
    <row r="82" spans="1:6" ht="15" customHeight="1" x14ac:dyDescent="0.2">
      <c r="A82" s="3" t="s">
        <v>1016</v>
      </c>
      <c r="B82" s="3" t="s">
        <v>1017</v>
      </c>
      <c r="C82" s="3" t="s">
        <v>891</v>
      </c>
      <c r="D82" s="2"/>
      <c r="E82" s="2"/>
      <c r="F82" s="3"/>
    </row>
    <row r="83" spans="1:6" ht="15" customHeight="1" x14ac:dyDescent="0.2">
      <c r="A83" s="9" t="s">
        <v>1018</v>
      </c>
      <c r="B83" s="9" t="s">
        <v>1019</v>
      </c>
      <c r="C83" s="9" t="s">
        <v>891</v>
      </c>
      <c r="D83" s="8"/>
      <c r="E83" s="8"/>
      <c r="F83" s="9"/>
    </row>
    <row r="84" spans="1:6" ht="15" customHeight="1" x14ac:dyDescent="0.2">
      <c r="A84" s="3" t="s">
        <v>1020</v>
      </c>
      <c r="B84" s="3" t="s">
        <v>1021</v>
      </c>
      <c r="C84" s="3" t="s">
        <v>891</v>
      </c>
      <c r="D84" s="2"/>
      <c r="E84" s="2"/>
      <c r="F84" s="3"/>
    </row>
    <row r="85" spans="1:6" ht="15" customHeight="1" x14ac:dyDescent="0.2">
      <c r="A85" s="9" t="s">
        <v>1022</v>
      </c>
      <c r="B85" s="9" t="s">
        <v>1023</v>
      </c>
      <c r="C85" s="9" t="s">
        <v>891</v>
      </c>
      <c r="D85" s="8"/>
      <c r="E85" s="8"/>
      <c r="F85" s="9"/>
    </row>
    <row r="86" spans="1:6" ht="15" customHeight="1" x14ac:dyDescent="0.2">
      <c r="A86" s="3" t="s">
        <v>1024</v>
      </c>
      <c r="B86" s="3" t="s">
        <v>1025</v>
      </c>
      <c r="C86" s="3" t="s">
        <v>891</v>
      </c>
      <c r="D86" s="2"/>
      <c r="E86" s="2"/>
      <c r="F86" s="3"/>
    </row>
    <row r="87" spans="1:6" ht="15" customHeight="1" x14ac:dyDescent="0.2">
      <c r="A87" s="9" t="s">
        <v>1026</v>
      </c>
      <c r="B87" s="9" t="s">
        <v>1027</v>
      </c>
      <c r="C87" s="9" t="s">
        <v>891</v>
      </c>
      <c r="D87" s="8"/>
      <c r="E87" s="8"/>
      <c r="F87" s="9"/>
    </row>
    <row r="88" spans="1:6" ht="15" customHeight="1" x14ac:dyDescent="0.2">
      <c r="A88" s="3" t="s">
        <v>1028</v>
      </c>
      <c r="B88" s="3" t="s">
        <v>1029</v>
      </c>
      <c r="C88" s="3" t="s">
        <v>891</v>
      </c>
      <c r="D88" s="2"/>
      <c r="E88" s="2"/>
      <c r="F88" s="3"/>
    </row>
    <row r="89" spans="1:6" ht="15" customHeight="1" x14ac:dyDescent="0.2">
      <c r="A89" s="9" t="s">
        <v>1030</v>
      </c>
      <c r="B89" s="9" t="s">
        <v>1031</v>
      </c>
      <c r="C89" s="9" t="s">
        <v>891</v>
      </c>
      <c r="D89" s="8"/>
      <c r="E89" s="8"/>
      <c r="F89" s="9"/>
    </row>
    <row r="90" spans="1:6" ht="15" customHeight="1" x14ac:dyDescent="0.2">
      <c r="A90" s="3" t="s">
        <v>1032</v>
      </c>
      <c r="B90" s="3" t="s">
        <v>1033</v>
      </c>
      <c r="C90" s="3" t="s">
        <v>891</v>
      </c>
      <c r="D90" s="2"/>
      <c r="E90" s="2"/>
      <c r="F90" s="3"/>
    </row>
    <row r="91" spans="1:6" ht="15" customHeight="1" x14ac:dyDescent="0.2">
      <c r="A91" s="9" t="s">
        <v>1034</v>
      </c>
      <c r="B91" s="9" t="s">
        <v>1035</v>
      </c>
      <c r="C91" s="9" t="s">
        <v>891</v>
      </c>
      <c r="D91" s="8"/>
      <c r="E91" s="8"/>
      <c r="F91" s="9"/>
    </row>
    <row r="92" spans="1:6" ht="15" customHeight="1" x14ac:dyDescent="0.2">
      <c r="A92" s="3" t="s">
        <v>1036</v>
      </c>
      <c r="B92" s="3" t="s">
        <v>1037</v>
      </c>
      <c r="C92" s="3" t="s">
        <v>891</v>
      </c>
      <c r="D92" s="2"/>
      <c r="E92" s="2"/>
      <c r="F92" s="3"/>
    </row>
    <row r="93" spans="1:6" ht="15" customHeight="1" x14ac:dyDescent="0.2">
      <c r="A93" s="9" t="s">
        <v>1038</v>
      </c>
      <c r="B93" s="9" t="s">
        <v>1039</v>
      </c>
      <c r="C93" s="9" t="s">
        <v>891</v>
      </c>
      <c r="D93" s="8"/>
      <c r="E93" s="8"/>
      <c r="F93" s="9"/>
    </row>
    <row r="94" spans="1:6" ht="15" customHeight="1" x14ac:dyDescent="0.2">
      <c r="A94" s="3" t="s">
        <v>1040</v>
      </c>
      <c r="B94" s="3" t="s">
        <v>1041</v>
      </c>
      <c r="C94" s="3" t="s">
        <v>891</v>
      </c>
      <c r="D94" s="2"/>
      <c r="E94" s="2"/>
      <c r="F94" s="3"/>
    </row>
    <row r="95" spans="1:6" ht="15" customHeight="1" x14ac:dyDescent="0.2">
      <c r="A95" s="9" t="s">
        <v>1042</v>
      </c>
      <c r="B95" s="9" t="s">
        <v>1043</v>
      </c>
      <c r="C95" s="9" t="s">
        <v>891</v>
      </c>
      <c r="D95" s="8"/>
      <c r="E95" s="8"/>
      <c r="F95" s="9"/>
    </row>
    <row r="96" spans="1:6" ht="15" customHeight="1" x14ac:dyDescent="0.2">
      <c r="A96" s="3" t="s">
        <v>1044</v>
      </c>
      <c r="B96" s="3" t="s">
        <v>1045</v>
      </c>
      <c r="C96" s="3" t="s">
        <v>891</v>
      </c>
      <c r="D96" s="2"/>
      <c r="E96" s="2"/>
      <c r="F96" s="3"/>
    </row>
    <row r="97" spans="1:6" ht="15" customHeight="1" x14ac:dyDescent="0.2">
      <c r="A97" s="9" t="s">
        <v>1046</v>
      </c>
      <c r="B97" s="9" t="s">
        <v>1047</v>
      </c>
      <c r="C97" s="9" t="s">
        <v>891</v>
      </c>
      <c r="D97" s="8"/>
      <c r="E97" s="8"/>
      <c r="F97" s="9"/>
    </row>
    <row r="98" spans="1:6" ht="15" customHeight="1" x14ac:dyDescent="0.2">
      <c r="A98" s="3" t="s">
        <v>1048</v>
      </c>
      <c r="B98" s="3" t="s">
        <v>1049</v>
      </c>
      <c r="C98" s="3" t="s">
        <v>891</v>
      </c>
      <c r="D98" s="2"/>
      <c r="E98" s="2"/>
      <c r="F98" s="3"/>
    </row>
    <row r="99" spans="1:6" ht="15" customHeight="1" x14ac:dyDescent="0.2">
      <c r="A99" s="9" t="s">
        <v>1050</v>
      </c>
      <c r="B99" s="9" t="s">
        <v>1051</v>
      </c>
      <c r="C99" s="9" t="s">
        <v>891</v>
      </c>
      <c r="D99" s="8"/>
      <c r="E99" s="8"/>
      <c r="F99" s="9"/>
    </row>
    <row r="100" spans="1:6" ht="15" customHeight="1" x14ac:dyDescent="0.2">
      <c r="A100" s="3" t="s">
        <v>1052</v>
      </c>
      <c r="B100" s="3" t="s">
        <v>1053</v>
      </c>
      <c r="C100" s="3" t="s">
        <v>891</v>
      </c>
      <c r="D100" s="2"/>
      <c r="E100" s="2"/>
      <c r="F100" s="3"/>
    </row>
    <row r="101" spans="1:6" ht="15" customHeight="1" x14ac:dyDescent="0.2">
      <c r="A101" s="9" t="s">
        <v>1054</v>
      </c>
      <c r="B101" s="9" t="s">
        <v>1055</v>
      </c>
      <c r="C101" s="9" t="s">
        <v>891</v>
      </c>
      <c r="D101" s="8"/>
      <c r="E101" s="8"/>
      <c r="F101" s="9"/>
    </row>
    <row r="102" spans="1:6" ht="15" customHeight="1" x14ac:dyDescent="0.2">
      <c r="A102" s="3" t="s">
        <v>1056</v>
      </c>
      <c r="B102" s="3" t="s">
        <v>1057</v>
      </c>
      <c r="C102" s="3" t="s">
        <v>891</v>
      </c>
      <c r="D102" s="2"/>
      <c r="E102" s="2"/>
      <c r="F102" s="3"/>
    </row>
    <row r="103" spans="1:6" ht="15" customHeight="1" x14ac:dyDescent="0.2">
      <c r="A103" s="9" t="s">
        <v>1058</v>
      </c>
      <c r="B103" s="9" t="s">
        <v>1059</v>
      </c>
      <c r="C103" s="9" t="s">
        <v>891</v>
      </c>
      <c r="D103" s="8"/>
      <c r="E103" s="8"/>
      <c r="F103" s="9"/>
    </row>
    <row r="104" spans="1:6" ht="15" customHeight="1" x14ac:dyDescent="0.2">
      <c r="A104" s="3" t="s">
        <v>1060</v>
      </c>
      <c r="B104" s="3" t="s">
        <v>1061</v>
      </c>
      <c r="C104" s="3" t="s">
        <v>891</v>
      </c>
      <c r="D104" s="2"/>
      <c r="E104" s="2"/>
      <c r="F104" s="3"/>
    </row>
    <row r="105" spans="1:6" ht="15" customHeight="1" x14ac:dyDescent="0.2">
      <c r="A105" s="9" t="s">
        <v>1062</v>
      </c>
      <c r="B105" s="9" t="s">
        <v>1063</v>
      </c>
      <c r="C105" s="9" t="s">
        <v>891</v>
      </c>
      <c r="D105" s="8"/>
      <c r="E105" s="8"/>
      <c r="F105" s="9"/>
    </row>
    <row r="106" spans="1:6" ht="15" customHeight="1" x14ac:dyDescent="0.2">
      <c r="A106" s="3" t="s">
        <v>1064</v>
      </c>
      <c r="B106" s="3" t="s">
        <v>1065</v>
      </c>
      <c r="C106" s="3" t="s">
        <v>891</v>
      </c>
      <c r="D106" s="2"/>
      <c r="E106" s="2"/>
      <c r="F106" s="3"/>
    </row>
    <row r="107" spans="1:6" ht="15" customHeight="1" x14ac:dyDescent="0.2">
      <c r="A107" s="9" t="s">
        <v>1066</v>
      </c>
      <c r="B107" s="9" t="s">
        <v>1067</v>
      </c>
      <c r="C107" s="9" t="s">
        <v>891</v>
      </c>
      <c r="D107" s="8"/>
      <c r="E107" s="8"/>
      <c r="F107" s="9"/>
    </row>
    <row r="108" spans="1:6" ht="15" customHeight="1" x14ac:dyDescent="0.2">
      <c r="A108" s="3" t="s">
        <v>1068</v>
      </c>
      <c r="B108" s="3" t="s">
        <v>1069</v>
      </c>
      <c r="C108" s="3" t="s">
        <v>891</v>
      </c>
      <c r="D108" s="2"/>
      <c r="E108" s="2"/>
      <c r="F108" s="3"/>
    </row>
    <row r="109" spans="1:6" ht="15" customHeight="1" x14ac:dyDescent="0.2">
      <c r="A109" s="9" t="s">
        <v>1070</v>
      </c>
      <c r="B109" s="9" t="s">
        <v>1071</v>
      </c>
      <c r="C109" s="9" t="s">
        <v>891</v>
      </c>
      <c r="D109" s="8"/>
      <c r="E109" s="8"/>
      <c r="F109" s="9"/>
    </row>
    <row r="110" spans="1:6" ht="15" customHeight="1" x14ac:dyDescent="0.2">
      <c r="A110" s="3" t="s">
        <v>1072</v>
      </c>
      <c r="B110" s="3" t="s">
        <v>1073</v>
      </c>
      <c r="C110" s="3" t="s">
        <v>891</v>
      </c>
      <c r="D110" s="2"/>
      <c r="E110" s="2"/>
      <c r="F110" s="3"/>
    </row>
    <row r="111" spans="1:6" ht="15" customHeight="1" x14ac:dyDescent="0.2">
      <c r="A111" s="9" t="s">
        <v>1074</v>
      </c>
      <c r="B111" s="9" t="s">
        <v>1075</v>
      </c>
      <c r="C111" s="9" t="s">
        <v>891</v>
      </c>
      <c r="D111" s="8"/>
      <c r="E111" s="8"/>
      <c r="F111" s="9"/>
    </row>
    <row r="112" spans="1:6" ht="15" customHeight="1" x14ac:dyDescent="0.2">
      <c r="A112" s="3" t="s">
        <v>1076</v>
      </c>
      <c r="B112" s="3" t="s">
        <v>1077</v>
      </c>
      <c r="C112" s="3" t="s">
        <v>891</v>
      </c>
      <c r="D112" s="2"/>
      <c r="E112" s="2"/>
      <c r="F112" s="3"/>
    </row>
    <row r="113" spans="1:6" ht="15" customHeight="1" x14ac:dyDescent="0.2">
      <c r="A113" s="9" t="s">
        <v>1078</v>
      </c>
      <c r="B113" s="9" t="s">
        <v>1079</v>
      </c>
      <c r="C113" s="9" t="s">
        <v>1080</v>
      </c>
      <c r="D113" s="8"/>
      <c r="E113" s="8"/>
      <c r="F113" s="9"/>
    </row>
    <row r="114" spans="1:6" ht="15" customHeight="1" x14ac:dyDescent="0.2">
      <c r="A114" s="3" t="s">
        <v>1081</v>
      </c>
      <c r="B114" s="3" t="s">
        <v>1082</v>
      </c>
      <c r="C114" s="3" t="s">
        <v>1080</v>
      </c>
      <c r="D114" s="2"/>
      <c r="E114" s="2"/>
      <c r="F114" s="3"/>
    </row>
    <row r="115" spans="1:6" ht="15" customHeight="1" x14ac:dyDescent="0.2">
      <c r="A115" s="9" t="s">
        <v>1083</v>
      </c>
      <c r="B115" s="9" t="s">
        <v>1084</v>
      </c>
      <c r="C115" s="9" t="s">
        <v>1080</v>
      </c>
      <c r="D115" s="8"/>
      <c r="E115" s="8"/>
      <c r="F115" s="9"/>
    </row>
    <row r="116" spans="1:6" ht="15" customHeight="1" x14ac:dyDescent="0.2">
      <c r="A116" s="3" t="s">
        <v>1085</v>
      </c>
      <c r="B116" s="3" t="s">
        <v>1086</v>
      </c>
      <c r="C116" s="3" t="s">
        <v>1080</v>
      </c>
      <c r="D116" s="2"/>
      <c r="E116" s="2"/>
      <c r="F116" s="3"/>
    </row>
    <row r="117" spans="1:6" ht="15" customHeight="1" x14ac:dyDescent="0.2">
      <c r="A117" s="9" t="s">
        <v>1087</v>
      </c>
      <c r="B117" s="9" t="s">
        <v>1088</v>
      </c>
      <c r="C117" s="9" t="s">
        <v>1080</v>
      </c>
      <c r="D117" s="8"/>
      <c r="E117" s="8"/>
      <c r="F117" s="9"/>
    </row>
    <row r="118" spans="1:6" ht="15" customHeight="1" x14ac:dyDescent="0.2">
      <c r="A118" s="3" t="s">
        <v>1089</v>
      </c>
      <c r="B118" s="3" t="s">
        <v>1090</v>
      </c>
      <c r="C118" s="3" t="s">
        <v>1080</v>
      </c>
      <c r="D118" s="2"/>
      <c r="E118" s="2"/>
      <c r="F118" s="3"/>
    </row>
    <row r="119" spans="1:6" ht="15" customHeight="1" x14ac:dyDescent="0.2">
      <c r="A119" s="9" t="s">
        <v>1091</v>
      </c>
      <c r="B119" s="9" t="s">
        <v>1092</v>
      </c>
      <c r="C119" s="9" t="s">
        <v>1080</v>
      </c>
      <c r="D119" s="8"/>
      <c r="E119" s="8"/>
      <c r="F119" s="9"/>
    </row>
    <row r="120" spans="1:6" ht="15" customHeight="1" x14ac:dyDescent="0.2">
      <c r="A120" s="3" t="s">
        <v>1093</v>
      </c>
      <c r="B120" s="3" t="s">
        <v>1094</v>
      </c>
      <c r="C120" s="3" t="s">
        <v>1080</v>
      </c>
      <c r="D120" s="2"/>
      <c r="E120" s="2"/>
      <c r="F120" s="3"/>
    </row>
    <row r="121" spans="1:6" ht="15" customHeight="1" x14ac:dyDescent="0.2">
      <c r="A121" s="9" t="s">
        <v>1095</v>
      </c>
      <c r="B121" s="9" t="s">
        <v>1096</v>
      </c>
      <c r="C121" s="9" t="s">
        <v>1080</v>
      </c>
      <c r="D121" s="8"/>
      <c r="E121" s="8"/>
      <c r="F121" s="9"/>
    </row>
    <row r="122" spans="1:6" ht="15" customHeight="1" x14ac:dyDescent="0.2">
      <c r="A122" s="3" t="s">
        <v>1097</v>
      </c>
      <c r="B122" s="3" t="s">
        <v>1098</v>
      </c>
      <c r="C122" s="3" t="s">
        <v>1080</v>
      </c>
      <c r="D122" s="2"/>
      <c r="E122" s="2"/>
      <c r="F122" s="3"/>
    </row>
    <row r="123" spans="1:6" ht="15" customHeight="1" x14ac:dyDescent="0.2">
      <c r="A123" s="9" t="s">
        <v>1099</v>
      </c>
      <c r="B123" s="9" t="s">
        <v>1100</v>
      </c>
      <c r="C123" s="9" t="s">
        <v>1080</v>
      </c>
      <c r="D123" s="8"/>
      <c r="E123" s="8"/>
      <c r="F123" s="9"/>
    </row>
    <row r="124" spans="1:6" ht="15" customHeight="1" x14ac:dyDescent="0.2">
      <c r="A124" s="3" t="s">
        <v>1101</v>
      </c>
      <c r="B124" s="3" t="s">
        <v>1102</v>
      </c>
      <c r="C124" s="3" t="s">
        <v>1080</v>
      </c>
      <c r="D124" s="2"/>
      <c r="E124" s="2"/>
      <c r="F124" s="3"/>
    </row>
    <row r="125" spans="1:6" ht="15" customHeight="1" x14ac:dyDescent="0.2">
      <c r="A125" s="9" t="s">
        <v>1103</v>
      </c>
      <c r="B125" s="9" t="s">
        <v>1104</v>
      </c>
      <c r="C125" s="9" t="s">
        <v>1080</v>
      </c>
      <c r="D125" s="8"/>
      <c r="E125" s="8"/>
      <c r="F125" s="9"/>
    </row>
    <row r="126" spans="1:6" ht="15" customHeight="1" x14ac:dyDescent="0.2">
      <c r="A126" s="3" t="s">
        <v>1105</v>
      </c>
      <c r="B126" s="3" t="s">
        <v>1106</v>
      </c>
      <c r="C126" s="3" t="s">
        <v>1080</v>
      </c>
      <c r="D126" s="2"/>
      <c r="E126" s="2"/>
      <c r="F126" s="3"/>
    </row>
    <row r="127" spans="1:6" ht="15" customHeight="1" x14ac:dyDescent="0.2">
      <c r="A127" s="9" t="s">
        <v>1107</v>
      </c>
      <c r="B127" s="9" t="s">
        <v>1108</v>
      </c>
      <c r="C127" s="9" t="s">
        <v>1080</v>
      </c>
      <c r="D127" s="8"/>
      <c r="E127" s="8"/>
      <c r="F127" s="9"/>
    </row>
    <row r="128" spans="1:6" ht="15" customHeight="1" x14ac:dyDescent="0.2">
      <c r="A128" s="3" t="s">
        <v>1109</v>
      </c>
      <c r="B128" s="3" t="s">
        <v>1110</v>
      </c>
      <c r="C128" s="3" t="s">
        <v>1080</v>
      </c>
      <c r="D128" s="2"/>
      <c r="E128" s="2"/>
      <c r="F128" s="3"/>
    </row>
    <row r="129" spans="1:6" ht="15" customHeight="1" x14ac:dyDescent="0.2">
      <c r="A129" s="9" t="s">
        <v>1111</v>
      </c>
      <c r="B129" s="9" t="s">
        <v>1112</v>
      </c>
      <c r="C129" s="9" t="s">
        <v>1080</v>
      </c>
      <c r="D129" s="8"/>
      <c r="E129" s="8"/>
      <c r="F129" s="9"/>
    </row>
    <row r="130" spans="1:6" ht="15" customHeight="1" x14ac:dyDescent="0.2">
      <c r="A130" s="3" t="s">
        <v>1113</v>
      </c>
      <c r="B130" s="3" t="s">
        <v>1114</v>
      </c>
      <c r="C130" s="3" t="s">
        <v>1080</v>
      </c>
      <c r="D130" s="2"/>
      <c r="E130" s="2"/>
      <c r="F130" s="3"/>
    </row>
    <row r="131" spans="1:6" ht="15" customHeight="1" x14ac:dyDescent="0.2">
      <c r="A131" s="9" t="s">
        <v>1115</v>
      </c>
      <c r="B131" s="9" t="s">
        <v>1116</v>
      </c>
      <c r="C131" s="9" t="s">
        <v>1080</v>
      </c>
      <c r="D131" s="8"/>
      <c r="E131" s="8"/>
      <c r="F131" s="9"/>
    </row>
    <row r="132" spans="1:6" ht="15" customHeight="1" x14ac:dyDescent="0.2">
      <c r="A132" s="3" t="s">
        <v>1117</v>
      </c>
      <c r="B132" s="3" t="s">
        <v>1118</v>
      </c>
      <c r="C132" s="3" t="s">
        <v>1080</v>
      </c>
      <c r="D132" s="2"/>
      <c r="E132" s="2"/>
      <c r="F132" s="3"/>
    </row>
    <row r="133" spans="1:6" ht="15" customHeight="1" x14ac:dyDescent="0.2">
      <c r="A133" s="9" t="s">
        <v>1119</v>
      </c>
      <c r="B133" s="9" t="s">
        <v>1120</v>
      </c>
      <c r="C133" s="9" t="s">
        <v>1080</v>
      </c>
      <c r="D133" s="8"/>
      <c r="E133" s="8"/>
      <c r="F133" s="9"/>
    </row>
    <row r="134" spans="1:6" ht="15" customHeight="1" x14ac:dyDescent="0.2">
      <c r="A134" s="3" t="s">
        <v>1121</v>
      </c>
      <c r="B134" s="3" t="s">
        <v>1122</v>
      </c>
      <c r="C134" s="3" t="s">
        <v>1080</v>
      </c>
      <c r="D134" s="2"/>
      <c r="E134" s="2"/>
      <c r="F134" s="3"/>
    </row>
    <row r="135" spans="1:6" ht="15" customHeight="1" x14ac:dyDescent="0.2">
      <c r="A135" s="9" t="s">
        <v>1123</v>
      </c>
      <c r="B135" s="9" t="s">
        <v>1124</v>
      </c>
      <c r="C135" s="9" t="s">
        <v>1080</v>
      </c>
      <c r="D135" s="8"/>
      <c r="E135" s="8"/>
      <c r="F135" s="9"/>
    </row>
    <row r="136" spans="1:6" ht="15" customHeight="1" x14ac:dyDescent="0.2">
      <c r="A136" s="3" t="s">
        <v>1125</v>
      </c>
      <c r="B136" s="3" t="s">
        <v>1126</v>
      </c>
      <c r="C136" s="3" t="s">
        <v>1080</v>
      </c>
      <c r="D136" s="2"/>
      <c r="E136" s="2"/>
      <c r="F136" s="3"/>
    </row>
    <row r="137" spans="1:6" ht="15" customHeight="1" x14ac:dyDescent="0.2">
      <c r="A137" s="9" t="s">
        <v>1127</v>
      </c>
      <c r="B137" s="9" t="s">
        <v>1128</v>
      </c>
      <c r="C137" s="9" t="s">
        <v>1080</v>
      </c>
      <c r="D137" s="8"/>
      <c r="E137" s="8"/>
      <c r="F137" s="9"/>
    </row>
    <row r="138" spans="1:6" ht="15" customHeight="1" x14ac:dyDescent="0.2">
      <c r="A138" s="3" t="s">
        <v>1129</v>
      </c>
      <c r="B138" s="3" t="s">
        <v>1130</v>
      </c>
      <c r="C138" s="3" t="s">
        <v>1080</v>
      </c>
      <c r="D138" s="2"/>
      <c r="E138" s="2"/>
      <c r="F138" s="3"/>
    </row>
    <row r="139" spans="1:6" ht="15" customHeight="1" x14ac:dyDescent="0.2">
      <c r="A139" s="9" t="s">
        <v>1131</v>
      </c>
      <c r="B139" s="9" t="s">
        <v>1132</v>
      </c>
      <c r="C139" s="9" t="s">
        <v>1080</v>
      </c>
      <c r="D139" s="8"/>
      <c r="E139" s="8"/>
      <c r="F139" s="9"/>
    </row>
    <row r="140" spans="1:6" ht="15" customHeight="1" x14ac:dyDescent="0.2">
      <c r="A140" s="3" t="s">
        <v>1133</v>
      </c>
      <c r="B140" s="3" t="s">
        <v>1134</v>
      </c>
      <c r="C140" s="3" t="s">
        <v>1080</v>
      </c>
      <c r="D140" s="2"/>
      <c r="E140" s="2"/>
      <c r="F140" s="3"/>
    </row>
    <row r="141" spans="1:6" ht="15" customHeight="1" x14ac:dyDescent="0.2">
      <c r="A141" s="9" t="s">
        <v>1135</v>
      </c>
      <c r="B141" s="9" t="s">
        <v>1136</v>
      </c>
      <c r="C141" s="9" t="s">
        <v>1080</v>
      </c>
      <c r="D141" s="8"/>
      <c r="E141" s="8"/>
      <c r="F141" s="9"/>
    </row>
    <row r="142" spans="1:6" ht="15" customHeight="1" x14ac:dyDescent="0.2">
      <c r="A142" s="3" t="s">
        <v>1137</v>
      </c>
      <c r="B142" s="3" t="s">
        <v>1138</v>
      </c>
      <c r="C142" s="3" t="s">
        <v>1080</v>
      </c>
      <c r="D142" s="2"/>
      <c r="E142" s="2"/>
      <c r="F142" s="3"/>
    </row>
    <row r="143" spans="1:6" ht="15" customHeight="1" x14ac:dyDescent="0.2">
      <c r="A143" s="9" t="s">
        <v>1139</v>
      </c>
      <c r="B143" s="9" t="s">
        <v>1140</v>
      </c>
      <c r="C143" s="9" t="s">
        <v>1080</v>
      </c>
      <c r="D143" s="8"/>
      <c r="E143" s="8"/>
      <c r="F143" s="9"/>
    </row>
    <row r="144" spans="1:6" ht="15" customHeight="1" x14ac:dyDescent="0.2">
      <c r="A144" s="3" t="s">
        <v>1141</v>
      </c>
      <c r="B144" s="3" t="s">
        <v>1142</v>
      </c>
      <c r="C144" s="3" t="s">
        <v>1080</v>
      </c>
      <c r="D144" s="2"/>
      <c r="E144" s="2"/>
      <c r="F144" s="3"/>
    </row>
    <row r="145" spans="1:6" ht="15" customHeight="1" x14ac:dyDescent="0.2">
      <c r="A145" s="9" t="s">
        <v>1143</v>
      </c>
      <c r="B145" s="9" t="s">
        <v>1144</v>
      </c>
      <c r="C145" s="9" t="s">
        <v>1080</v>
      </c>
      <c r="D145" s="8"/>
      <c r="E145" s="8"/>
      <c r="F145" s="9"/>
    </row>
    <row r="146" spans="1:6" ht="15" customHeight="1" x14ac:dyDescent="0.2">
      <c r="A146" s="3" t="s">
        <v>1145</v>
      </c>
      <c r="B146" s="3" t="s">
        <v>1146</v>
      </c>
      <c r="C146" s="3" t="s">
        <v>1080</v>
      </c>
      <c r="D146" s="2"/>
      <c r="E146" s="2"/>
      <c r="F146" s="3"/>
    </row>
    <row r="147" spans="1:6" ht="15" customHeight="1" x14ac:dyDescent="0.2">
      <c r="A147" s="9" t="s">
        <v>1147</v>
      </c>
      <c r="B147" s="9" t="s">
        <v>1148</v>
      </c>
      <c r="C147" s="9" t="s">
        <v>1080</v>
      </c>
      <c r="D147" s="8"/>
      <c r="E147" s="8"/>
      <c r="F147" s="9"/>
    </row>
    <row r="148" spans="1:6" ht="15" customHeight="1" x14ac:dyDescent="0.2">
      <c r="A148" s="3" t="s">
        <v>1149</v>
      </c>
      <c r="B148" s="3" t="s">
        <v>1150</v>
      </c>
      <c r="C148" s="3" t="s">
        <v>1080</v>
      </c>
      <c r="D148" s="2"/>
      <c r="E148" s="2"/>
      <c r="F148" s="3"/>
    </row>
    <row r="149" spans="1:6" ht="15" customHeight="1" x14ac:dyDescent="0.2">
      <c r="A149" s="9" t="s">
        <v>1151</v>
      </c>
      <c r="B149" s="9" t="s">
        <v>1152</v>
      </c>
      <c r="C149" s="9" t="s">
        <v>1080</v>
      </c>
      <c r="D149" s="8"/>
      <c r="E149" s="8"/>
      <c r="F149" s="9"/>
    </row>
    <row r="150" spans="1:6" ht="15" customHeight="1" x14ac:dyDescent="0.2">
      <c r="A150" s="3" t="s">
        <v>1153</v>
      </c>
      <c r="B150" s="3" t="s">
        <v>1154</v>
      </c>
      <c r="C150" s="3" t="s">
        <v>1080</v>
      </c>
      <c r="D150" s="2"/>
      <c r="E150" s="2"/>
      <c r="F150" s="3"/>
    </row>
    <row r="151" spans="1:6" ht="15" customHeight="1" x14ac:dyDescent="0.2">
      <c r="A151" s="9" t="s">
        <v>1155</v>
      </c>
      <c r="B151" s="9" t="s">
        <v>1156</v>
      </c>
      <c r="C151" s="9" t="s">
        <v>1080</v>
      </c>
      <c r="D151" s="8"/>
      <c r="E151" s="8"/>
      <c r="F151" s="9"/>
    </row>
    <row r="152" spans="1:6" ht="15" customHeight="1" x14ac:dyDescent="0.2">
      <c r="A152" s="3" t="s">
        <v>1157</v>
      </c>
      <c r="B152" s="3" t="s">
        <v>1158</v>
      </c>
      <c r="C152" s="3" t="s">
        <v>1080</v>
      </c>
      <c r="D152" s="2"/>
      <c r="E152" s="2"/>
      <c r="F152" s="3"/>
    </row>
    <row r="153" spans="1:6" ht="15" customHeight="1" x14ac:dyDescent="0.2">
      <c r="A153" s="9" t="s">
        <v>1159</v>
      </c>
      <c r="B153" s="9" t="s">
        <v>1160</v>
      </c>
      <c r="C153" s="9" t="s">
        <v>1080</v>
      </c>
      <c r="D153" s="8"/>
      <c r="E153" s="8"/>
      <c r="F153" s="9"/>
    </row>
    <row r="154" spans="1:6" ht="15" customHeight="1" x14ac:dyDescent="0.2">
      <c r="A154" s="3" t="s">
        <v>1161</v>
      </c>
      <c r="B154" s="3" t="s">
        <v>1162</v>
      </c>
      <c r="C154" s="3" t="s">
        <v>1080</v>
      </c>
      <c r="D154" s="2"/>
      <c r="E154" s="2"/>
      <c r="F154" s="3"/>
    </row>
    <row r="155" spans="1:6" ht="15" customHeight="1" x14ac:dyDescent="0.2">
      <c r="A155" s="9" t="s">
        <v>1163</v>
      </c>
      <c r="B155" s="9" t="s">
        <v>1164</v>
      </c>
      <c r="C155" s="9" t="s">
        <v>1080</v>
      </c>
      <c r="D155" s="8"/>
      <c r="E155" s="8"/>
      <c r="F155" s="9"/>
    </row>
    <row r="156" spans="1:6" ht="15" customHeight="1" x14ac:dyDescent="0.2">
      <c r="A156" s="3" t="s">
        <v>1165</v>
      </c>
      <c r="B156" s="3" t="s">
        <v>1166</v>
      </c>
      <c r="C156" s="3" t="s">
        <v>1080</v>
      </c>
      <c r="D156" s="2"/>
      <c r="E156" s="2"/>
      <c r="F156" s="3"/>
    </row>
    <row r="157" spans="1:6" ht="15" customHeight="1" x14ac:dyDescent="0.2">
      <c r="A157" s="9" t="s">
        <v>1167</v>
      </c>
      <c r="B157" s="9" t="s">
        <v>1168</v>
      </c>
      <c r="C157" s="9" t="s">
        <v>1080</v>
      </c>
      <c r="D157" s="8"/>
      <c r="E157" s="8"/>
      <c r="F157" s="9"/>
    </row>
    <row r="158" spans="1:6" ht="15" customHeight="1" x14ac:dyDescent="0.2">
      <c r="A158" s="3" t="s">
        <v>1169</v>
      </c>
      <c r="B158" s="3" t="s">
        <v>1170</v>
      </c>
      <c r="C158" s="3" t="s">
        <v>1080</v>
      </c>
      <c r="D158" s="2"/>
      <c r="E158" s="2"/>
      <c r="F158" s="3"/>
    </row>
    <row r="159" spans="1:6" ht="15" customHeight="1" x14ac:dyDescent="0.2">
      <c r="A159" s="9" t="s">
        <v>1171</v>
      </c>
      <c r="B159" s="9" t="s">
        <v>1172</v>
      </c>
      <c r="C159" s="9" t="s">
        <v>1080</v>
      </c>
      <c r="D159" s="8"/>
      <c r="E159" s="8"/>
      <c r="F159" s="9"/>
    </row>
    <row r="160" spans="1:6" ht="15" customHeight="1" x14ac:dyDescent="0.2">
      <c r="A160" s="3" t="s">
        <v>1173</v>
      </c>
      <c r="B160" s="3" t="s">
        <v>1174</v>
      </c>
      <c r="C160" s="3" t="s">
        <v>1080</v>
      </c>
      <c r="D160" s="2"/>
      <c r="E160" s="2"/>
      <c r="F160" s="3"/>
    </row>
    <row r="161" spans="1:6" ht="15" customHeight="1" x14ac:dyDescent="0.2">
      <c r="A161" s="9" t="s">
        <v>1175</v>
      </c>
      <c r="B161" s="9" t="s">
        <v>1176</v>
      </c>
      <c r="C161" s="9" t="s">
        <v>1080</v>
      </c>
      <c r="D161" s="8"/>
      <c r="E161" s="8"/>
      <c r="F161" s="9"/>
    </row>
    <row r="162" spans="1:6" ht="15" customHeight="1" x14ac:dyDescent="0.2">
      <c r="A162" s="3" t="s">
        <v>1177</v>
      </c>
      <c r="B162" s="3" t="s">
        <v>1178</v>
      </c>
      <c r="C162" s="3" t="s">
        <v>1080</v>
      </c>
      <c r="D162" s="2"/>
      <c r="E162" s="2"/>
      <c r="F162" s="3"/>
    </row>
    <row r="163" spans="1:6" ht="15" customHeight="1" x14ac:dyDescent="0.2">
      <c r="A163" s="9" t="s">
        <v>1179</v>
      </c>
      <c r="B163" s="9" t="s">
        <v>1180</v>
      </c>
      <c r="C163" s="9" t="s">
        <v>1080</v>
      </c>
      <c r="D163" s="8"/>
      <c r="E163" s="8"/>
      <c r="F163" s="9"/>
    </row>
    <row r="164" spans="1:6" ht="15" customHeight="1" x14ac:dyDescent="0.2">
      <c r="A164" s="3" t="s">
        <v>1181</v>
      </c>
      <c r="B164" s="3" t="s">
        <v>1182</v>
      </c>
      <c r="C164" s="3" t="s">
        <v>1080</v>
      </c>
      <c r="D164" s="2"/>
      <c r="E164" s="2"/>
      <c r="F164" s="3"/>
    </row>
    <row r="165" spans="1:6" ht="15" customHeight="1" x14ac:dyDescent="0.2">
      <c r="A165" s="9" t="s">
        <v>1183</v>
      </c>
      <c r="B165" s="9" t="s">
        <v>1184</v>
      </c>
      <c r="C165" s="9" t="s">
        <v>1080</v>
      </c>
      <c r="D165" s="8"/>
      <c r="E165" s="8"/>
      <c r="F165" s="9"/>
    </row>
    <row r="166" spans="1:6" ht="15" customHeight="1" x14ac:dyDescent="0.2">
      <c r="A166" s="3" t="s">
        <v>1185</v>
      </c>
      <c r="B166" s="3" t="s">
        <v>1186</v>
      </c>
      <c r="C166" s="3" t="s">
        <v>1080</v>
      </c>
      <c r="D166" s="2"/>
      <c r="E166" s="2"/>
      <c r="F166" s="3"/>
    </row>
    <row r="167" spans="1:6" ht="15" customHeight="1" x14ac:dyDescent="0.2">
      <c r="A167" s="9" t="s">
        <v>1187</v>
      </c>
      <c r="B167" s="9" t="s">
        <v>1188</v>
      </c>
      <c r="C167" s="9" t="s">
        <v>1080</v>
      </c>
      <c r="D167" s="8"/>
      <c r="E167" s="8"/>
      <c r="F167" s="9"/>
    </row>
    <row r="168" spans="1:6" ht="15" customHeight="1" x14ac:dyDescent="0.2">
      <c r="A168" s="3" t="s">
        <v>1189</v>
      </c>
      <c r="B168" s="3" t="s">
        <v>1190</v>
      </c>
      <c r="C168" s="3" t="s">
        <v>1080</v>
      </c>
      <c r="D168" s="2"/>
      <c r="E168" s="2"/>
      <c r="F168" s="3"/>
    </row>
    <row r="169" spans="1:6" ht="15" customHeight="1" x14ac:dyDescent="0.2">
      <c r="A169" s="9" t="s">
        <v>1191</v>
      </c>
      <c r="B169" s="9" t="s">
        <v>1192</v>
      </c>
      <c r="C169" s="9" t="s">
        <v>1080</v>
      </c>
      <c r="D169" s="8"/>
      <c r="E169" s="8"/>
      <c r="F169" s="9"/>
    </row>
    <row r="170" spans="1:6" ht="15" customHeight="1" x14ac:dyDescent="0.2">
      <c r="A170" s="3" t="s">
        <v>1193</v>
      </c>
      <c r="B170" s="3" t="s">
        <v>1194</v>
      </c>
      <c r="C170" s="3" t="s">
        <v>1080</v>
      </c>
      <c r="D170" s="2"/>
      <c r="E170" s="2"/>
      <c r="F170" s="3"/>
    </row>
    <row r="171" spans="1:6" ht="15" customHeight="1" x14ac:dyDescent="0.2">
      <c r="A171" s="9" t="s">
        <v>1195</v>
      </c>
      <c r="B171" s="9" t="s">
        <v>1196</v>
      </c>
      <c r="C171" s="9" t="s">
        <v>1080</v>
      </c>
      <c r="D171" s="8"/>
      <c r="E171" s="8"/>
      <c r="F171" s="9"/>
    </row>
    <row r="172" spans="1:6" ht="15" customHeight="1" x14ac:dyDescent="0.2">
      <c r="A172" s="3" t="s">
        <v>1197</v>
      </c>
      <c r="B172" s="3" t="s">
        <v>1198</v>
      </c>
      <c r="C172" s="3" t="s">
        <v>1080</v>
      </c>
      <c r="D172" s="2"/>
      <c r="E172" s="2"/>
      <c r="F172" s="3"/>
    </row>
    <row r="173" spans="1:6" ht="15" customHeight="1" x14ac:dyDescent="0.2">
      <c r="A173" s="9" t="s">
        <v>1199</v>
      </c>
      <c r="B173" s="9" t="s">
        <v>1200</v>
      </c>
      <c r="C173" s="9" t="s">
        <v>1080</v>
      </c>
      <c r="D173" s="8"/>
      <c r="E173" s="8"/>
      <c r="F173" s="9"/>
    </row>
    <row r="174" spans="1:6" ht="15" customHeight="1" x14ac:dyDescent="0.2">
      <c r="A174" s="3" t="s">
        <v>1201</v>
      </c>
      <c r="B174" s="3" t="s">
        <v>1202</v>
      </c>
      <c r="C174" s="3" t="s">
        <v>1080</v>
      </c>
      <c r="D174" s="2"/>
      <c r="E174" s="2"/>
      <c r="F174" s="3"/>
    </row>
    <row r="175" spans="1:6" ht="15" customHeight="1" x14ac:dyDescent="0.2">
      <c r="A175" s="9" t="s">
        <v>1203</v>
      </c>
      <c r="B175" s="9" t="s">
        <v>1204</v>
      </c>
      <c r="C175" s="9" t="s">
        <v>1080</v>
      </c>
      <c r="D175" s="8"/>
      <c r="E175" s="8"/>
      <c r="F175" s="9"/>
    </row>
    <row r="176" spans="1:6" ht="15" customHeight="1" x14ac:dyDescent="0.2">
      <c r="A176" s="3" t="s">
        <v>1205</v>
      </c>
      <c r="B176" s="3" t="s">
        <v>1206</v>
      </c>
      <c r="C176" s="3" t="s">
        <v>1080</v>
      </c>
      <c r="D176" s="2"/>
      <c r="E176" s="2"/>
      <c r="F176" s="3"/>
    </row>
    <row r="177" spans="1:6" ht="15" customHeight="1" x14ac:dyDescent="0.2">
      <c r="A177" s="9" t="s">
        <v>1207</v>
      </c>
      <c r="B177" s="9" t="s">
        <v>1208</v>
      </c>
      <c r="C177" s="9" t="s">
        <v>1080</v>
      </c>
      <c r="D177" s="8"/>
      <c r="E177" s="8"/>
      <c r="F177" s="9"/>
    </row>
    <row r="178" spans="1:6" ht="15" customHeight="1" x14ac:dyDescent="0.2">
      <c r="A178" s="3" t="s">
        <v>1209</v>
      </c>
      <c r="B178" s="3" t="s">
        <v>1210</v>
      </c>
      <c r="C178" s="3" t="s">
        <v>1080</v>
      </c>
      <c r="D178" s="2"/>
      <c r="E178" s="2"/>
      <c r="F178" s="3"/>
    </row>
    <row r="179" spans="1:6" ht="15" customHeight="1" x14ac:dyDescent="0.2">
      <c r="A179" s="9" t="s">
        <v>1211</v>
      </c>
      <c r="B179" s="9" t="s">
        <v>1212</v>
      </c>
      <c r="C179" s="9" t="s">
        <v>1080</v>
      </c>
      <c r="D179" s="8"/>
      <c r="E179" s="8"/>
      <c r="F179" s="9"/>
    </row>
    <row r="180" spans="1:6" ht="15" customHeight="1" x14ac:dyDescent="0.2">
      <c r="A180" s="3" t="s">
        <v>1213</v>
      </c>
      <c r="B180" s="3" t="s">
        <v>1214</v>
      </c>
      <c r="C180" s="3" t="s">
        <v>1080</v>
      </c>
      <c r="D180" s="2"/>
      <c r="E180" s="2"/>
      <c r="F180" s="3"/>
    </row>
    <row r="181" spans="1:6" ht="15" customHeight="1" x14ac:dyDescent="0.2">
      <c r="A181" s="9" t="s">
        <v>1215</v>
      </c>
      <c r="B181" s="9" t="s">
        <v>1216</v>
      </c>
      <c r="C181" s="9" t="s">
        <v>1080</v>
      </c>
      <c r="D181" s="8"/>
      <c r="E181" s="8"/>
      <c r="F181" s="9"/>
    </row>
    <row r="182" spans="1:6" ht="15" customHeight="1" x14ac:dyDescent="0.2">
      <c r="A182" s="3" t="s">
        <v>1217</v>
      </c>
      <c r="B182" s="3" t="s">
        <v>1218</v>
      </c>
      <c r="C182" s="3" t="s">
        <v>1080</v>
      </c>
      <c r="D182" s="2"/>
      <c r="E182" s="2"/>
      <c r="F182" s="3"/>
    </row>
    <row r="183" spans="1:6" ht="15" customHeight="1" x14ac:dyDescent="0.2">
      <c r="A183" s="9" t="s">
        <v>1219</v>
      </c>
      <c r="B183" s="9" t="s">
        <v>1220</v>
      </c>
      <c r="C183" s="9" t="s">
        <v>1080</v>
      </c>
      <c r="D183" s="8"/>
      <c r="E183" s="8"/>
      <c r="F183" s="9"/>
    </row>
    <row r="184" spans="1:6" ht="15" customHeight="1" x14ac:dyDescent="0.2">
      <c r="A184" s="3" t="s">
        <v>1221</v>
      </c>
      <c r="B184" s="3" t="s">
        <v>1222</v>
      </c>
      <c r="C184" s="3" t="s">
        <v>1080</v>
      </c>
      <c r="D184" s="2"/>
      <c r="E184" s="2"/>
      <c r="F184" s="3"/>
    </row>
    <row r="185" spans="1:6" ht="15" customHeight="1" x14ac:dyDescent="0.2">
      <c r="A185" s="9" t="s">
        <v>1223</v>
      </c>
      <c r="B185" s="9" t="s">
        <v>1224</v>
      </c>
      <c r="C185" s="9" t="s">
        <v>1080</v>
      </c>
      <c r="D185" s="8"/>
      <c r="E185" s="8"/>
      <c r="F185" s="9"/>
    </row>
    <row r="186" spans="1:6" ht="15" customHeight="1" x14ac:dyDescent="0.2">
      <c r="A186" s="3" t="s">
        <v>1225</v>
      </c>
      <c r="B186" s="3" t="s">
        <v>1226</v>
      </c>
      <c r="C186" s="3" t="s">
        <v>862</v>
      </c>
      <c r="D186" s="2"/>
      <c r="E186" s="2"/>
      <c r="F186" s="3"/>
    </row>
    <row r="187" spans="1:6" ht="15" customHeight="1" x14ac:dyDescent="0.2">
      <c r="A187" s="9" t="s">
        <v>1227</v>
      </c>
      <c r="B187" s="9" t="s">
        <v>1228</v>
      </c>
      <c r="C187" s="9" t="s">
        <v>862</v>
      </c>
      <c r="D187" s="8"/>
      <c r="E187" s="8"/>
      <c r="F187" s="9"/>
    </row>
    <row r="188" spans="1:6" ht="15" customHeight="1" x14ac:dyDescent="0.2">
      <c r="A188" s="3" t="s">
        <v>1229</v>
      </c>
      <c r="B188" s="3" t="s">
        <v>1230</v>
      </c>
      <c r="C188" s="3" t="s">
        <v>862</v>
      </c>
      <c r="D188" s="2"/>
      <c r="E188" s="2"/>
      <c r="F188" s="3"/>
    </row>
    <row r="189" spans="1:6" ht="15" customHeight="1" x14ac:dyDescent="0.2">
      <c r="A189" s="9" t="s">
        <v>1231</v>
      </c>
      <c r="B189" s="9" t="s">
        <v>1232</v>
      </c>
      <c r="C189" s="9" t="s">
        <v>862</v>
      </c>
      <c r="D189" s="8"/>
      <c r="E189" s="8"/>
      <c r="F189" s="9"/>
    </row>
    <row r="190" spans="1:6" ht="15" customHeight="1" x14ac:dyDescent="0.2">
      <c r="A190" s="3" t="s">
        <v>1233</v>
      </c>
      <c r="B190" s="3" t="s">
        <v>1234</v>
      </c>
      <c r="C190" s="3" t="s">
        <v>862</v>
      </c>
      <c r="D190" s="2"/>
      <c r="E190" s="2"/>
      <c r="F190" s="3"/>
    </row>
    <row r="191" spans="1:6" ht="15" customHeight="1" x14ac:dyDescent="0.2">
      <c r="A191" s="9" t="s">
        <v>1235</v>
      </c>
      <c r="B191" s="9" t="s">
        <v>1236</v>
      </c>
      <c r="C191" s="9" t="s">
        <v>862</v>
      </c>
      <c r="D191" s="8"/>
      <c r="E191" s="8"/>
      <c r="F191" s="9"/>
    </row>
    <row r="192" spans="1:6" ht="15" customHeight="1" x14ac:dyDescent="0.2">
      <c r="A192" s="3" t="s">
        <v>1237</v>
      </c>
      <c r="B192" s="3" t="s">
        <v>1238</v>
      </c>
      <c r="C192" s="3" t="s">
        <v>862</v>
      </c>
      <c r="D192" s="2"/>
      <c r="E192" s="2"/>
      <c r="F192" s="3"/>
    </row>
    <row r="193" spans="1:6" ht="15" customHeight="1" x14ac:dyDescent="0.2">
      <c r="A193" s="9" t="s">
        <v>1239</v>
      </c>
      <c r="B193" s="9" t="s">
        <v>1240</v>
      </c>
      <c r="C193" s="9" t="s">
        <v>862</v>
      </c>
      <c r="D193" s="8"/>
      <c r="E193" s="8"/>
      <c r="F193" s="9"/>
    </row>
    <row r="194" spans="1:6" ht="15" customHeight="1" x14ac:dyDescent="0.2">
      <c r="A194" s="3" t="s">
        <v>1241</v>
      </c>
      <c r="B194" s="3" t="s">
        <v>1242</v>
      </c>
      <c r="C194" s="3" t="s">
        <v>862</v>
      </c>
      <c r="D194" s="2"/>
      <c r="E194" s="2"/>
      <c r="F194" s="3"/>
    </row>
    <row r="195" spans="1:6" ht="15" customHeight="1" x14ac:dyDescent="0.2">
      <c r="A195" s="9" t="s">
        <v>1243</v>
      </c>
      <c r="B195" s="9" t="s">
        <v>1244</v>
      </c>
      <c r="C195" s="9" t="s">
        <v>862</v>
      </c>
      <c r="D195" s="8"/>
      <c r="E195" s="8"/>
      <c r="F195" s="9"/>
    </row>
    <row r="196" spans="1:6" ht="15" customHeight="1" x14ac:dyDescent="0.2">
      <c r="A196" s="3" t="s">
        <v>1245</v>
      </c>
      <c r="B196" s="3" t="s">
        <v>1246</v>
      </c>
      <c r="C196" s="3" t="s">
        <v>862</v>
      </c>
      <c r="D196" s="2"/>
      <c r="E196" s="2"/>
      <c r="F196" s="3"/>
    </row>
    <row r="197" spans="1:6" ht="15" customHeight="1" x14ac:dyDescent="0.2">
      <c r="A197" s="9" t="s">
        <v>1247</v>
      </c>
      <c r="B197" s="9" t="s">
        <v>1248</v>
      </c>
      <c r="C197" s="9" t="s">
        <v>862</v>
      </c>
      <c r="D197" s="8"/>
      <c r="E197" s="8"/>
      <c r="F197" s="9"/>
    </row>
    <row r="198" spans="1:6" ht="15" customHeight="1" x14ac:dyDescent="0.2">
      <c r="A198" s="3" t="s">
        <v>1249</v>
      </c>
      <c r="B198" s="3" t="s">
        <v>1250</v>
      </c>
      <c r="C198" s="3" t="s">
        <v>862</v>
      </c>
      <c r="D198" s="2"/>
      <c r="E198" s="2"/>
      <c r="F198" s="3"/>
    </row>
    <row r="199" spans="1:6" ht="15" customHeight="1" x14ac:dyDescent="0.2">
      <c r="A199" s="9" t="s">
        <v>1251</v>
      </c>
      <c r="B199" s="9" t="s">
        <v>1252</v>
      </c>
      <c r="C199" s="9" t="s">
        <v>862</v>
      </c>
      <c r="D199" s="8"/>
      <c r="E199" s="8"/>
      <c r="F199" s="9"/>
    </row>
    <row r="200" spans="1:6" ht="15" customHeight="1" x14ac:dyDescent="0.2">
      <c r="A200" s="3" t="s">
        <v>1253</v>
      </c>
      <c r="B200" s="3" t="s">
        <v>1254</v>
      </c>
      <c r="C200" s="3" t="s">
        <v>862</v>
      </c>
      <c r="D200" s="2"/>
      <c r="E200" s="2"/>
      <c r="F200" s="3"/>
    </row>
    <row r="201" spans="1:6" ht="15" customHeight="1" x14ac:dyDescent="0.2">
      <c r="A201" s="9" t="s">
        <v>1255</v>
      </c>
      <c r="B201" s="9" t="s">
        <v>1256</v>
      </c>
      <c r="C201" s="9" t="s">
        <v>862</v>
      </c>
      <c r="D201" s="8"/>
      <c r="E201" s="8"/>
      <c r="F201" s="9"/>
    </row>
    <row r="202" spans="1:6" ht="15" customHeight="1" x14ac:dyDescent="0.2">
      <c r="A202" s="3" t="s">
        <v>1257</v>
      </c>
      <c r="B202" s="3" t="s">
        <v>1258</v>
      </c>
      <c r="C202" s="3" t="s">
        <v>862</v>
      </c>
      <c r="D202" s="2"/>
      <c r="E202" s="2"/>
      <c r="F202" s="3"/>
    </row>
    <row r="203" spans="1:6" ht="15" customHeight="1" x14ac:dyDescent="0.2">
      <c r="A203" s="9" t="s">
        <v>1259</v>
      </c>
      <c r="B203" s="9" t="s">
        <v>1260</v>
      </c>
      <c r="C203" s="9" t="s">
        <v>862</v>
      </c>
      <c r="D203" s="8"/>
      <c r="E203" s="8"/>
      <c r="F203" s="9"/>
    </row>
    <row r="204" spans="1:6" ht="15" customHeight="1" x14ac:dyDescent="0.2">
      <c r="A204" s="3" t="s">
        <v>1261</v>
      </c>
      <c r="B204" s="3" t="s">
        <v>1262</v>
      </c>
      <c r="C204" s="3" t="s">
        <v>862</v>
      </c>
      <c r="D204" s="2"/>
      <c r="E204" s="2"/>
      <c r="F204" s="3"/>
    </row>
    <row r="205" spans="1:6" ht="15" customHeight="1" x14ac:dyDescent="0.2">
      <c r="A205" s="9" t="s">
        <v>1263</v>
      </c>
      <c r="B205" s="9" t="s">
        <v>1264</v>
      </c>
      <c r="C205" s="9" t="s">
        <v>862</v>
      </c>
      <c r="D205" s="8"/>
      <c r="E205" s="8"/>
      <c r="F205" s="9"/>
    </row>
    <row r="206" spans="1:6" ht="15" customHeight="1" x14ac:dyDescent="0.2">
      <c r="A206" s="3" t="s">
        <v>1265</v>
      </c>
      <c r="B206" s="3" t="s">
        <v>1266</v>
      </c>
      <c r="C206" s="3" t="s">
        <v>862</v>
      </c>
      <c r="D206" s="2"/>
      <c r="E206" s="2"/>
      <c r="F206" s="3"/>
    </row>
    <row r="207" spans="1:6" ht="15" customHeight="1" x14ac:dyDescent="0.2">
      <c r="A207" s="9" t="s">
        <v>1267</v>
      </c>
      <c r="B207" s="9" t="s">
        <v>1268</v>
      </c>
      <c r="C207" s="9" t="s">
        <v>862</v>
      </c>
      <c r="D207" s="8"/>
      <c r="E207" s="8"/>
      <c r="F207" s="9"/>
    </row>
    <row r="208" spans="1:6" ht="15" customHeight="1" x14ac:dyDescent="0.2">
      <c r="A208" s="3" t="s">
        <v>1269</v>
      </c>
      <c r="B208" s="3" t="s">
        <v>1270</v>
      </c>
      <c r="C208" s="3" t="s">
        <v>862</v>
      </c>
      <c r="D208" s="2"/>
      <c r="E208" s="2"/>
      <c r="F208" s="3"/>
    </row>
    <row r="209" spans="1:6" ht="15" customHeight="1" x14ac:dyDescent="0.2">
      <c r="A209" s="9" t="s">
        <v>1271</v>
      </c>
      <c r="B209" s="9" t="s">
        <v>1272</v>
      </c>
      <c r="C209" s="9" t="s">
        <v>862</v>
      </c>
      <c r="D209" s="8"/>
      <c r="E209" s="8"/>
      <c r="F209" s="9"/>
    </row>
    <row r="210" spans="1:6" ht="15" customHeight="1" x14ac:dyDescent="0.2">
      <c r="A210" s="3" t="s">
        <v>1273</v>
      </c>
      <c r="B210" s="3" t="s">
        <v>1274</v>
      </c>
      <c r="C210" s="3" t="s">
        <v>862</v>
      </c>
      <c r="D210" s="2"/>
      <c r="E210" s="2"/>
      <c r="F210" s="3"/>
    </row>
    <row r="211" spans="1:6" ht="15" customHeight="1" x14ac:dyDescent="0.2">
      <c r="A211" s="9" t="s">
        <v>1275</v>
      </c>
      <c r="B211" s="9" t="s">
        <v>1276</v>
      </c>
      <c r="C211" s="9" t="s">
        <v>862</v>
      </c>
      <c r="D211" s="8"/>
      <c r="E211" s="8"/>
      <c r="F211" s="9"/>
    </row>
    <row r="212" spans="1:6" ht="15" customHeight="1" x14ac:dyDescent="0.2">
      <c r="A212" s="3" t="s">
        <v>1277</v>
      </c>
      <c r="B212" s="3" t="s">
        <v>1278</v>
      </c>
      <c r="C212" s="3" t="s">
        <v>862</v>
      </c>
      <c r="D212" s="2"/>
      <c r="E212" s="2"/>
      <c r="F212" s="3"/>
    </row>
    <row r="213" spans="1:6" ht="15" customHeight="1" x14ac:dyDescent="0.2">
      <c r="A213" s="9" t="s">
        <v>1279</v>
      </c>
      <c r="B213" s="9" t="s">
        <v>1280</v>
      </c>
      <c r="C213" s="9" t="s">
        <v>862</v>
      </c>
      <c r="D213" s="8"/>
      <c r="E213" s="8"/>
      <c r="F213" s="9"/>
    </row>
    <row r="214" spans="1:6" ht="15" customHeight="1" x14ac:dyDescent="0.2">
      <c r="A214" s="3" t="s">
        <v>1281</v>
      </c>
      <c r="B214" s="3" t="s">
        <v>1282</v>
      </c>
      <c r="C214" s="3" t="s">
        <v>862</v>
      </c>
      <c r="D214" s="2"/>
      <c r="E214" s="2"/>
      <c r="F214" s="3"/>
    </row>
    <row r="215" spans="1:6" ht="15" customHeight="1" x14ac:dyDescent="0.2">
      <c r="A215" s="9" t="s">
        <v>1283</v>
      </c>
      <c r="B215" s="9" t="s">
        <v>1284</v>
      </c>
      <c r="C215" s="9" t="s">
        <v>862</v>
      </c>
      <c r="D215" s="8"/>
      <c r="E215" s="8"/>
      <c r="F215" s="9"/>
    </row>
    <row r="216" spans="1:6" ht="15" customHeight="1" x14ac:dyDescent="0.2">
      <c r="A216" s="3" t="s">
        <v>1285</v>
      </c>
      <c r="B216" s="3" t="s">
        <v>1286</v>
      </c>
      <c r="C216" s="3" t="s">
        <v>862</v>
      </c>
      <c r="D216" s="2"/>
      <c r="E216" s="2"/>
      <c r="F216" s="3"/>
    </row>
    <row r="217" spans="1:6" ht="15" customHeight="1" x14ac:dyDescent="0.2">
      <c r="A217" s="9" t="s">
        <v>1287</v>
      </c>
      <c r="B217" s="9" t="s">
        <v>1288</v>
      </c>
      <c r="C217" s="9" t="s">
        <v>862</v>
      </c>
      <c r="D217" s="8"/>
      <c r="E217" s="8"/>
      <c r="F217" s="9"/>
    </row>
    <row r="218" spans="1:6" ht="15" customHeight="1" x14ac:dyDescent="0.2">
      <c r="A218" s="3" t="s">
        <v>1289</v>
      </c>
      <c r="B218" s="3" t="s">
        <v>1290</v>
      </c>
      <c r="C218" s="3" t="s">
        <v>862</v>
      </c>
      <c r="D218" s="2"/>
      <c r="E218" s="2"/>
      <c r="F218" s="3"/>
    </row>
    <row r="219" spans="1:6" ht="15" customHeight="1" x14ac:dyDescent="0.2">
      <c r="A219" s="9" t="s">
        <v>1291</v>
      </c>
      <c r="B219" s="9" t="s">
        <v>1292</v>
      </c>
      <c r="C219" s="9" t="s">
        <v>862</v>
      </c>
      <c r="D219" s="8"/>
      <c r="E219" s="8"/>
      <c r="F219" s="9"/>
    </row>
    <row r="220" spans="1:6" ht="15" customHeight="1" x14ac:dyDescent="0.2">
      <c r="A220" s="3" t="s">
        <v>1293</v>
      </c>
      <c r="B220" s="3" t="s">
        <v>1294</v>
      </c>
      <c r="C220" s="3" t="s">
        <v>862</v>
      </c>
      <c r="D220" s="2"/>
      <c r="E220" s="2"/>
      <c r="F220" s="3"/>
    </row>
    <row r="221" spans="1:6" ht="15" customHeight="1" x14ac:dyDescent="0.2">
      <c r="A221" s="9" t="s">
        <v>1295</v>
      </c>
      <c r="B221" s="9" t="s">
        <v>1296</v>
      </c>
      <c r="C221" s="9" t="s">
        <v>862</v>
      </c>
      <c r="D221" s="8"/>
      <c r="E221" s="8"/>
      <c r="F221" s="9"/>
    </row>
    <row r="222" spans="1:6" ht="15" customHeight="1" x14ac:dyDescent="0.2">
      <c r="A222" s="3" t="s">
        <v>1297</v>
      </c>
      <c r="B222" s="3" t="s">
        <v>1298</v>
      </c>
      <c r="C222" s="3" t="s">
        <v>862</v>
      </c>
      <c r="D222" s="2"/>
      <c r="E222" s="2"/>
      <c r="F222" s="3"/>
    </row>
    <row r="223" spans="1:6" ht="15" customHeight="1" x14ac:dyDescent="0.2">
      <c r="A223" s="9" t="s">
        <v>1299</v>
      </c>
      <c r="B223" s="9" t="s">
        <v>1300</v>
      </c>
      <c r="C223" s="9" t="s">
        <v>862</v>
      </c>
      <c r="D223" s="8"/>
      <c r="E223" s="8"/>
      <c r="F223" s="9"/>
    </row>
    <row r="224" spans="1:6" ht="15" customHeight="1" x14ac:dyDescent="0.2">
      <c r="A224" s="3" t="s">
        <v>1301</v>
      </c>
      <c r="B224" s="3" t="s">
        <v>1302</v>
      </c>
      <c r="C224" s="3" t="s">
        <v>862</v>
      </c>
      <c r="D224" s="2"/>
      <c r="E224" s="2"/>
      <c r="F224" s="3"/>
    </row>
    <row r="225" spans="1:6" ht="15" customHeight="1" x14ac:dyDescent="0.2">
      <c r="A225" s="9" t="s">
        <v>1303</v>
      </c>
      <c r="B225" s="9" t="s">
        <v>1304</v>
      </c>
      <c r="C225" s="9" t="s">
        <v>862</v>
      </c>
      <c r="D225" s="8"/>
      <c r="E225" s="8"/>
      <c r="F225" s="9"/>
    </row>
    <row r="226" spans="1:6" ht="15" customHeight="1" x14ac:dyDescent="0.2">
      <c r="A226" s="3" t="s">
        <v>1305</v>
      </c>
      <c r="B226" s="3" t="s">
        <v>1306</v>
      </c>
      <c r="C226" s="3" t="s">
        <v>862</v>
      </c>
      <c r="D226" s="2"/>
      <c r="E226" s="2"/>
      <c r="F226" s="3"/>
    </row>
    <row r="227" spans="1:6" ht="15" customHeight="1" x14ac:dyDescent="0.2">
      <c r="A227" s="9" t="s">
        <v>1307</v>
      </c>
      <c r="B227" s="9" t="s">
        <v>1308</v>
      </c>
      <c r="C227" s="9" t="s">
        <v>862</v>
      </c>
      <c r="D227" s="8"/>
      <c r="E227" s="8"/>
      <c r="F227" s="9"/>
    </row>
    <row r="228" spans="1:6" ht="15" customHeight="1" x14ac:dyDescent="0.2">
      <c r="A228" s="3" t="s">
        <v>1309</v>
      </c>
      <c r="B228" s="3" t="s">
        <v>1310</v>
      </c>
      <c r="C228" s="3" t="s">
        <v>862</v>
      </c>
      <c r="D228" s="2"/>
      <c r="E228" s="2"/>
      <c r="F228" s="3"/>
    </row>
    <row r="229" spans="1:6" ht="15" customHeight="1" x14ac:dyDescent="0.2">
      <c r="A229" s="9" t="s">
        <v>1311</v>
      </c>
      <c r="B229" s="9" t="s">
        <v>1312</v>
      </c>
      <c r="C229" s="9" t="s">
        <v>862</v>
      </c>
      <c r="D229" s="8"/>
      <c r="E229" s="8"/>
      <c r="F229" s="9"/>
    </row>
    <row r="230" spans="1:6" ht="15" customHeight="1" x14ac:dyDescent="0.2">
      <c r="A230" s="3" t="s">
        <v>1313</v>
      </c>
      <c r="B230" s="3" t="s">
        <v>1314</v>
      </c>
      <c r="C230" s="3" t="s">
        <v>862</v>
      </c>
      <c r="D230" s="2"/>
      <c r="E230" s="2"/>
      <c r="F230" s="3"/>
    </row>
    <row r="231" spans="1:6" ht="15" customHeight="1" x14ac:dyDescent="0.2">
      <c r="A231" s="9" t="s">
        <v>1315</v>
      </c>
      <c r="B231" s="9" t="s">
        <v>1272</v>
      </c>
      <c r="C231" s="9" t="s">
        <v>862</v>
      </c>
      <c r="D231" s="8"/>
      <c r="E231" s="8"/>
      <c r="F231" s="9"/>
    </row>
    <row r="232" spans="1:6" ht="15" customHeight="1" x14ac:dyDescent="0.2">
      <c r="A232" s="3" t="s">
        <v>1316</v>
      </c>
      <c r="B232" s="3" t="s">
        <v>1317</v>
      </c>
      <c r="C232" s="3" t="s">
        <v>862</v>
      </c>
      <c r="D232" s="2"/>
      <c r="E232" s="2"/>
      <c r="F232" s="3"/>
    </row>
    <row r="233" spans="1:6" ht="15" customHeight="1" x14ac:dyDescent="0.2">
      <c r="A233" s="9" t="s">
        <v>1318</v>
      </c>
      <c r="B233" s="9" t="s">
        <v>1319</v>
      </c>
      <c r="C233" s="9" t="s">
        <v>862</v>
      </c>
      <c r="D233" s="8"/>
      <c r="E233" s="8"/>
      <c r="F233" s="9"/>
    </row>
    <row r="234" spans="1:6" ht="15" customHeight="1" x14ac:dyDescent="0.2">
      <c r="A234" s="3" t="s">
        <v>1320</v>
      </c>
      <c r="B234" s="3" t="s">
        <v>1321</v>
      </c>
      <c r="C234" s="3" t="s">
        <v>862</v>
      </c>
      <c r="D234" s="2"/>
      <c r="E234" s="2"/>
      <c r="F234" s="3"/>
    </row>
    <row r="235" spans="1:6" ht="15" customHeight="1" x14ac:dyDescent="0.2">
      <c r="A235" s="9" t="s">
        <v>1322</v>
      </c>
      <c r="B235" s="9" t="s">
        <v>1323</v>
      </c>
      <c r="C235" s="9" t="s">
        <v>862</v>
      </c>
      <c r="D235" s="8"/>
      <c r="E235" s="8"/>
      <c r="F235" s="9"/>
    </row>
    <row r="236" spans="1:6" ht="15" customHeight="1" x14ac:dyDescent="0.2">
      <c r="A236" s="3" t="s">
        <v>1324</v>
      </c>
      <c r="B236" s="3" t="s">
        <v>1325</v>
      </c>
      <c r="C236" s="3" t="s">
        <v>862</v>
      </c>
      <c r="D236" s="2"/>
      <c r="E236" s="2"/>
      <c r="F236" s="3"/>
    </row>
    <row r="237" spans="1:6" ht="15" customHeight="1" x14ac:dyDescent="0.2">
      <c r="A237" s="9" t="s">
        <v>1326</v>
      </c>
      <c r="B237" s="9" t="s">
        <v>1327</v>
      </c>
      <c r="C237" s="9" t="s">
        <v>862</v>
      </c>
      <c r="D237" s="8"/>
      <c r="E237" s="8"/>
      <c r="F237" s="9"/>
    </row>
    <row r="238" spans="1:6" ht="15" customHeight="1" x14ac:dyDescent="0.2">
      <c r="A238" s="3" t="s">
        <v>1328</v>
      </c>
      <c r="B238" s="3" t="s">
        <v>1329</v>
      </c>
      <c r="C238" s="3" t="s">
        <v>862</v>
      </c>
      <c r="D238" s="2"/>
      <c r="E238" s="2"/>
      <c r="F238" s="3"/>
    </row>
    <row r="239" spans="1:6" ht="15" customHeight="1" x14ac:dyDescent="0.2">
      <c r="A239" s="9" t="s">
        <v>1330</v>
      </c>
      <c r="B239" s="9" t="s">
        <v>1331</v>
      </c>
      <c r="C239" s="9" t="s">
        <v>862</v>
      </c>
      <c r="D239" s="8"/>
      <c r="E239" s="8"/>
      <c r="F239" s="9"/>
    </row>
    <row r="240" spans="1:6" ht="15" customHeight="1" x14ac:dyDescent="0.2">
      <c r="A240" s="3" t="s">
        <v>1332</v>
      </c>
      <c r="B240" s="3" t="s">
        <v>1333</v>
      </c>
      <c r="C240" s="3" t="s">
        <v>862</v>
      </c>
      <c r="D240" s="2"/>
      <c r="E240" s="2"/>
      <c r="F240" s="3"/>
    </row>
    <row r="241" spans="1:6" ht="15" customHeight="1" x14ac:dyDescent="0.2">
      <c r="A241" s="9" t="s">
        <v>1334</v>
      </c>
      <c r="B241" s="9" t="s">
        <v>1335</v>
      </c>
      <c r="C241" s="9" t="s">
        <v>862</v>
      </c>
      <c r="D241" s="8"/>
      <c r="E241" s="8"/>
      <c r="F241" s="9"/>
    </row>
    <row r="242" spans="1:6" ht="15" customHeight="1" x14ac:dyDescent="0.2">
      <c r="A242" s="3" t="s">
        <v>1336</v>
      </c>
      <c r="B242" s="3" t="s">
        <v>1337</v>
      </c>
      <c r="C242" s="3" t="s">
        <v>862</v>
      </c>
      <c r="D242" s="2"/>
      <c r="E242" s="2"/>
      <c r="F242" s="3"/>
    </row>
    <row r="243" spans="1:6" ht="15" customHeight="1" x14ac:dyDescent="0.2">
      <c r="A243" s="9" t="s">
        <v>1338</v>
      </c>
      <c r="B243" s="9" t="s">
        <v>1339</v>
      </c>
      <c r="C243" s="9" t="s">
        <v>862</v>
      </c>
      <c r="D243" s="8"/>
      <c r="E243" s="8"/>
      <c r="F243" s="9"/>
    </row>
    <row r="244" spans="1:6" ht="15" customHeight="1" x14ac:dyDescent="0.2">
      <c r="A244" s="3" t="s">
        <v>1340</v>
      </c>
      <c r="B244" s="3" t="s">
        <v>1341</v>
      </c>
      <c r="C244" s="3" t="s">
        <v>862</v>
      </c>
      <c r="D244" s="2"/>
      <c r="E244" s="2"/>
      <c r="F244" s="3"/>
    </row>
    <row r="245" spans="1:6" ht="15" customHeight="1" x14ac:dyDescent="0.2">
      <c r="A245" s="9" t="s">
        <v>1342</v>
      </c>
      <c r="B245" s="9" t="s">
        <v>1343</v>
      </c>
      <c r="C245" s="9" t="s">
        <v>862</v>
      </c>
      <c r="D245" s="8"/>
      <c r="E245" s="8"/>
      <c r="F245" s="9"/>
    </row>
    <row r="246" spans="1:6" ht="15" customHeight="1" x14ac:dyDescent="0.2">
      <c r="A246" s="3" t="s">
        <v>1344</v>
      </c>
      <c r="B246" s="3" t="s">
        <v>1329</v>
      </c>
      <c r="C246" s="3" t="s">
        <v>862</v>
      </c>
      <c r="D246" s="2"/>
      <c r="E246" s="2"/>
      <c r="F246" s="3"/>
    </row>
    <row r="247" spans="1:6" ht="15" customHeight="1" x14ac:dyDescent="0.2">
      <c r="A247" s="9" t="s">
        <v>1345</v>
      </c>
      <c r="B247" s="9" t="s">
        <v>1346</v>
      </c>
      <c r="C247" s="9" t="s">
        <v>862</v>
      </c>
      <c r="D247" s="8"/>
      <c r="E247" s="8"/>
      <c r="F247" s="9"/>
    </row>
    <row r="248" spans="1:6" ht="15" customHeight="1" x14ac:dyDescent="0.2">
      <c r="A248" s="3" t="s">
        <v>1347</v>
      </c>
      <c r="B248" s="3" t="s">
        <v>1348</v>
      </c>
      <c r="C248" s="3" t="s">
        <v>862</v>
      </c>
      <c r="D248" s="2"/>
      <c r="E248" s="2"/>
      <c r="F248" s="3"/>
    </row>
    <row r="249" spans="1:6" ht="15" customHeight="1" x14ac:dyDescent="0.2">
      <c r="A249" s="9" t="s">
        <v>1349</v>
      </c>
      <c r="B249" s="9" t="s">
        <v>1350</v>
      </c>
      <c r="C249" s="9" t="s">
        <v>862</v>
      </c>
      <c r="D249" s="8"/>
      <c r="E249" s="8"/>
      <c r="F249" s="9"/>
    </row>
    <row r="250" spans="1:6" ht="15" customHeight="1" x14ac:dyDescent="0.2">
      <c r="A250" s="3" t="s">
        <v>1351</v>
      </c>
      <c r="B250" s="3" t="s">
        <v>1352</v>
      </c>
      <c r="C250" s="3" t="s">
        <v>862</v>
      </c>
      <c r="D250" s="2"/>
      <c r="E250" s="2"/>
      <c r="F250" s="3"/>
    </row>
    <row r="251" spans="1:6" ht="15" customHeight="1" x14ac:dyDescent="0.2">
      <c r="A251" s="9" t="s">
        <v>1353</v>
      </c>
      <c r="B251" s="9" t="s">
        <v>1354</v>
      </c>
      <c r="C251" s="9" t="s">
        <v>862</v>
      </c>
      <c r="D251" s="8"/>
      <c r="E251" s="8"/>
      <c r="F251" s="9"/>
    </row>
    <row r="252" spans="1:6" ht="15" customHeight="1" x14ac:dyDescent="0.2">
      <c r="A252" s="3" t="s">
        <v>1355</v>
      </c>
      <c r="B252" s="3" t="s">
        <v>1356</v>
      </c>
      <c r="C252" s="3" t="s">
        <v>862</v>
      </c>
      <c r="D252" s="2"/>
      <c r="E252" s="2"/>
      <c r="F252" s="3"/>
    </row>
    <row r="253" spans="1:6" ht="15" customHeight="1" x14ac:dyDescent="0.2">
      <c r="A253" s="9" t="s">
        <v>1357</v>
      </c>
      <c r="B253" s="9" t="s">
        <v>1272</v>
      </c>
      <c r="C253" s="9" t="s">
        <v>862</v>
      </c>
      <c r="D253" s="8"/>
      <c r="E253" s="8"/>
      <c r="F253" s="9"/>
    </row>
    <row r="254" spans="1:6" ht="15" customHeight="1" x14ac:dyDescent="0.2">
      <c r="A254" s="3" t="s">
        <v>1358</v>
      </c>
      <c r="B254" s="3" t="s">
        <v>1359</v>
      </c>
      <c r="C254" s="3" t="s">
        <v>862</v>
      </c>
      <c r="D254" s="2"/>
      <c r="E254" s="2"/>
      <c r="F254" s="3"/>
    </row>
    <row r="255" spans="1:6" ht="15" customHeight="1" x14ac:dyDescent="0.2">
      <c r="A255" s="9" t="s">
        <v>1360</v>
      </c>
      <c r="B255" s="9" t="s">
        <v>1361</v>
      </c>
      <c r="C255" s="9" t="s">
        <v>862</v>
      </c>
      <c r="D255" s="8"/>
      <c r="E255" s="8"/>
      <c r="F255" s="9"/>
    </row>
    <row r="256" spans="1:6" ht="15" customHeight="1" x14ac:dyDescent="0.2">
      <c r="A256" s="3" t="s">
        <v>1362</v>
      </c>
      <c r="B256" s="3" t="s">
        <v>1363</v>
      </c>
      <c r="C256" s="3" t="s">
        <v>862</v>
      </c>
      <c r="D256" s="2"/>
      <c r="E256" s="2"/>
      <c r="F256" s="3"/>
    </row>
    <row r="257" spans="1:6" ht="15" customHeight="1" x14ac:dyDescent="0.2">
      <c r="A257" s="9" t="s">
        <v>1364</v>
      </c>
      <c r="B257" s="9" t="s">
        <v>1365</v>
      </c>
      <c r="C257" s="9" t="s">
        <v>862</v>
      </c>
      <c r="D257" s="8"/>
      <c r="E257" s="8"/>
      <c r="F257" s="9"/>
    </row>
    <row r="258" spans="1:6" ht="15" customHeight="1" x14ac:dyDescent="0.2">
      <c r="A258" s="3" t="s">
        <v>1366</v>
      </c>
      <c r="B258" s="3" t="s">
        <v>1367</v>
      </c>
      <c r="C258" s="3" t="s">
        <v>862</v>
      </c>
      <c r="D258" s="2"/>
      <c r="E258" s="2"/>
      <c r="F258" s="3"/>
    </row>
    <row r="259" spans="1:6" ht="15" customHeight="1" x14ac:dyDescent="0.2">
      <c r="A259" s="9" t="s">
        <v>1368</v>
      </c>
      <c r="B259" s="9" t="s">
        <v>1369</v>
      </c>
      <c r="C259" s="9" t="s">
        <v>862</v>
      </c>
      <c r="D259" s="8"/>
      <c r="E259" s="8"/>
      <c r="F259" s="9"/>
    </row>
    <row r="260" spans="1:6" ht="15" customHeight="1" x14ac:dyDescent="0.2">
      <c r="A260" s="3" t="s">
        <v>1370</v>
      </c>
      <c r="B260" s="3" t="s">
        <v>1371</v>
      </c>
      <c r="C260" s="3" t="s">
        <v>862</v>
      </c>
      <c r="D260" s="2"/>
      <c r="E260" s="2"/>
      <c r="F260" s="3"/>
    </row>
    <row r="261" spans="1:6" ht="15" customHeight="1" x14ac:dyDescent="0.2">
      <c r="A261" s="9" t="s">
        <v>1372</v>
      </c>
      <c r="B261" s="9" t="s">
        <v>1373</v>
      </c>
      <c r="C261" s="9" t="s">
        <v>862</v>
      </c>
      <c r="D261" s="8"/>
      <c r="E261" s="8"/>
      <c r="F261" s="9"/>
    </row>
    <row r="262" spans="1:6" ht="15" customHeight="1" x14ac:dyDescent="0.2">
      <c r="A262" s="3" t="s">
        <v>1374</v>
      </c>
      <c r="B262" s="3" t="s">
        <v>1375</v>
      </c>
      <c r="C262" s="3" t="s">
        <v>862</v>
      </c>
      <c r="D262" s="2"/>
      <c r="E262" s="2"/>
      <c r="F262" s="3"/>
    </row>
    <row r="263" spans="1:6" ht="15" customHeight="1" x14ac:dyDescent="0.2">
      <c r="A263" s="9" t="s">
        <v>1376</v>
      </c>
      <c r="B263" s="9" t="s">
        <v>1377</v>
      </c>
      <c r="C263" s="9" t="s">
        <v>862</v>
      </c>
      <c r="D263" s="8"/>
      <c r="E263" s="8"/>
      <c r="F263" s="9"/>
    </row>
    <row r="264" spans="1:6" ht="15" customHeight="1" x14ac:dyDescent="0.2">
      <c r="A264" s="3" t="s">
        <v>1378</v>
      </c>
      <c r="B264" s="3" t="s">
        <v>1379</v>
      </c>
      <c r="C264" s="3" t="s">
        <v>862</v>
      </c>
      <c r="D264" s="2"/>
      <c r="E264" s="2"/>
      <c r="F264" s="3"/>
    </row>
    <row r="265" spans="1:6" ht="15" customHeight="1" x14ac:dyDescent="0.2">
      <c r="A265" s="9" t="s">
        <v>1380</v>
      </c>
      <c r="B265" s="9" t="s">
        <v>1381</v>
      </c>
      <c r="C265" s="9" t="s">
        <v>862</v>
      </c>
      <c r="D265" s="8"/>
      <c r="E265" s="8"/>
      <c r="F265" s="9"/>
    </row>
    <row r="266" spans="1:6" ht="15" customHeight="1" x14ac:dyDescent="0.2">
      <c r="A266" s="3" t="s">
        <v>1382</v>
      </c>
      <c r="B266" s="3" t="s">
        <v>1383</v>
      </c>
      <c r="C266" s="3" t="s">
        <v>862</v>
      </c>
      <c r="D266" s="2"/>
      <c r="E266" s="2"/>
      <c r="F266" s="3"/>
    </row>
    <row r="267" spans="1:6" ht="15" customHeight="1" x14ac:dyDescent="0.2">
      <c r="A267" s="9" t="s">
        <v>1384</v>
      </c>
      <c r="B267" s="9" t="s">
        <v>1385</v>
      </c>
      <c r="C267" s="9" t="s">
        <v>862</v>
      </c>
      <c r="D267" s="8"/>
      <c r="E267" s="8"/>
      <c r="F267" s="9"/>
    </row>
    <row r="268" spans="1:6" ht="15" customHeight="1" x14ac:dyDescent="0.2">
      <c r="A268" s="3" t="s">
        <v>1386</v>
      </c>
      <c r="B268" s="3" t="s">
        <v>1387</v>
      </c>
      <c r="C268" s="3" t="s">
        <v>862</v>
      </c>
      <c r="D268" s="2"/>
      <c r="E268" s="2"/>
      <c r="F268" s="3"/>
    </row>
    <row r="269" spans="1:6" ht="15" customHeight="1" x14ac:dyDescent="0.2">
      <c r="A269" s="9" t="s">
        <v>1388</v>
      </c>
      <c r="B269" s="9" t="s">
        <v>1389</v>
      </c>
      <c r="C269" s="9" t="s">
        <v>862</v>
      </c>
      <c r="D269" s="8"/>
      <c r="E269" s="8"/>
      <c r="F269" s="9"/>
    </row>
    <row r="270" spans="1:6" ht="15" customHeight="1" x14ac:dyDescent="0.2">
      <c r="A270" s="3" t="s">
        <v>1390</v>
      </c>
      <c r="B270" s="3" t="s">
        <v>1391</v>
      </c>
      <c r="C270" s="3" t="s">
        <v>862</v>
      </c>
      <c r="D270" s="2"/>
      <c r="E270" s="2"/>
      <c r="F270" s="3"/>
    </row>
    <row r="271" spans="1:6" ht="15" customHeight="1" x14ac:dyDescent="0.2">
      <c r="A271" s="9" t="s">
        <v>1392</v>
      </c>
      <c r="B271" s="9" t="s">
        <v>1393</v>
      </c>
      <c r="C271" s="9" t="s">
        <v>862</v>
      </c>
      <c r="D271" s="8"/>
      <c r="E271" s="8"/>
      <c r="F271" s="9"/>
    </row>
    <row r="272" spans="1:6" ht="15" customHeight="1" x14ac:dyDescent="0.2">
      <c r="A272" s="3" t="s">
        <v>1394</v>
      </c>
      <c r="B272" s="3" t="s">
        <v>1395</v>
      </c>
      <c r="C272" s="3" t="s">
        <v>862</v>
      </c>
      <c r="D272" s="2"/>
      <c r="E272" s="2"/>
      <c r="F272" s="3"/>
    </row>
    <row r="273" spans="1:6" ht="15" customHeight="1" x14ac:dyDescent="0.2">
      <c r="A273" s="9" t="s">
        <v>1396</v>
      </c>
      <c r="B273" s="9" t="s">
        <v>1397</v>
      </c>
      <c r="C273" s="9" t="s">
        <v>862</v>
      </c>
      <c r="D273" s="8"/>
      <c r="E273" s="8"/>
      <c r="F273" s="9"/>
    </row>
    <row r="274" spans="1:6" ht="15" customHeight="1" x14ac:dyDescent="0.2">
      <c r="A274" s="3" t="s">
        <v>1398</v>
      </c>
      <c r="B274" s="3" t="s">
        <v>1399</v>
      </c>
      <c r="C274" s="3" t="s">
        <v>862</v>
      </c>
      <c r="D274" s="2"/>
      <c r="E274" s="2"/>
      <c r="F274" s="3"/>
    </row>
    <row r="275" spans="1:6" ht="15" customHeight="1" x14ac:dyDescent="0.2">
      <c r="A275" s="9" t="s">
        <v>1400</v>
      </c>
      <c r="B275" s="9" t="s">
        <v>1401</v>
      </c>
      <c r="C275" s="9" t="s">
        <v>862</v>
      </c>
      <c r="D275" s="8"/>
      <c r="E275" s="8"/>
      <c r="F275" s="9"/>
    </row>
    <row r="276" spans="1:6" ht="15" customHeight="1" x14ac:dyDescent="0.2">
      <c r="A276" s="3" t="s">
        <v>1402</v>
      </c>
      <c r="B276" s="3" t="s">
        <v>1329</v>
      </c>
      <c r="C276" s="3" t="s">
        <v>862</v>
      </c>
      <c r="D276" s="2"/>
      <c r="E276" s="2"/>
      <c r="F276" s="3"/>
    </row>
    <row r="277" spans="1:6" ht="15" customHeight="1" x14ac:dyDescent="0.2">
      <c r="A277" s="9" t="s">
        <v>1403</v>
      </c>
      <c r="B277" s="9" t="s">
        <v>1404</v>
      </c>
      <c r="C277" s="9" t="s">
        <v>862</v>
      </c>
      <c r="D277" s="8"/>
      <c r="E277" s="8"/>
      <c r="F277" s="9"/>
    </row>
    <row r="278" spans="1:6" ht="15" customHeight="1" x14ac:dyDescent="0.2">
      <c r="A278" s="3" t="s">
        <v>1405</v>
      </c>
      <c r="B278" s="3" t="s">
        <v>1406</v>
      </c>
      <c r="C278" s="3" t="s">
        <v>862</v>
      </c>
      <c r="D278" s="2"/>
      <c r="E278" s="2"/>
      <c r="F278" s="3"/>
    </row>
    <row r="279" spans="1:6" ht="15" customHeight="1" x14ac:dyDescent="0.2">
      <c r="A279" s="9" t="s">
        <v>1407</v>
      </c>
      <c r="B279" s="9" t="s">
        <v>1408</v>
      </c>
      <c r="C279" s="9" t="s">
        <v>862</v>
      </c>
      <c r="D279" s="8"/>
      <c r="E279" s="8"/>
      <c r="F279" s="9"/>
    </row>
    <row r="280" spans="1:6" ht="15" customHeight="1" x14ac:dyDescent="0.2">
      <c r="A280" s="3" t="s">
        <v>1409</v>
      </c>
      <c r="B280" s="3" t="s">
        <v>1254</v>
      </c>
      <c r="C280" s="3" t="s">
        <v>862</v>
      </c>
      <c r="D280" s="2"/>
      <c r="E280" s="2"/>
      <c r="F280" s="3"/>
    </row>
    <row r="281" spans="1:6" ht="15" customHeight="1" x14ac:dyDescent="0.2">
      <c r="A281" s="9" t="s">
        <v>1410</v>
      </c>
      <c r="B281" s="9" t="s">
        <v>1411</v>
      </c>
      <c r="C281" s="9" t="s">
        <v>862</v>
      </c>
      <c r="D281" s="8"/>
      <c r="E281" s="8"/>
      <c r="F281" s="9"/>
    </row>
    <row r="282" spans="1:6" ht="15" customHeight="1" x14ac:dyDescent="0.2">
      <c r="A282" s="3" t="s">
        <v>1412</v>
      </c>
      <c r="B282" s="3" t="s">
        <v>1413</v>
      </c>
      <c r="C282" s="3" t="s">
        <v>862</v>
      </c>
      <c r="D282" s="2"/>
      <c r="E282" s="2"/>
      <c r="F282" s="3"/>
    </row>
    <row r="283" spans="1:6" ht="15" customHeight="1" x14ac:dyDescent="0.2">
      <c r="A283" s="9" t="s">
        <v>1414</v>
      </c>
      <c r="B283" s="9" t="s">
        <v>1415</v>
      </c>
      <c r="C283" s="9" t="s">
        <v>862</v>
      </c>
      <c r="D283" s="8"/>
      <c r="E283" s="8"/>
      <c r="F283" s="9"/>
    </row>
    <row r="284" spans="1:6" ht="15" customHeight="1" x14ac:dyDescent="0.2">
      <c r="A284" s="3" t="s">
        <v>1416</v>
      </c>
      <c r="B284" s="3" t="s">
        <v>1417</v>
      </c>
      <c r="C284" s="3" t="s">
        <v>862</v>
      </c>
      <c r="D284" s="2"/>
      <c r="E284" s="2"/>
      <c r="F284" s="3"/>
    </row>
    <row r="285" spans="1:6" ht="15" customHeight="1" x14ac:dyDescent="0.2">
      <c r="A285" s="9" t="s">
        <v>1418</v>
      </c>
      <c r="B285" s="9" t="s">
        <v>1419</v>
      </c>
      <c r="C285" s="9" t="s">
        <v>862</v>
      </c>
      <c r="D285" s="8"/>
      <c r="E285" s="8"/>
      <c r="F285" s="9"/>
    </row>
    <row r="286" spans="1:6" ht="15" customHeight="1" x14ac:dyDescent="0.2">
      <c r="A286" s="3" t="s">
        <v>1420</v>
      </c>
      <c r="B286" s="3" t="s">
        <v>1421</v>
      </c>
      <c r="C286" s="3" t="s">
        <v>862</v>
      </c>
      <c r="D286" s="2"/>
      <c r="E286" s="2"/>
      <c r="F286" s="3"/>
    </row>
    <row r="287" spans="1:6" ht="15" customHeight="1" x14ac:dyDescent="0.2">
      <c r="A287" s="9" t="s">
        <v>1422</v>
      </c>
      <c r="B287" s="9" t="s">
        <v>1423</v>
      </c>
      <c r="C287" s="9" t="s">
        <v>862</v>
      </c>
      <c r="D287" s="8"/>
      <c r="E287" s="8"/>
      <c r="F287" s="9"/>
    </row>
    <row r="288" spans="1:6" ht="15" customHeight="1" x14ac:dyDescent="0.2">
      <c r="A288" s="3" t="s">
        <v>1424</v>
      </c>
      <c r="B288" s="3" t="s">
        <v>1425</v>
      </c>
      <c r="C288" s="3" t="s">
        <v>862</v>
      </c>
      <c r="D288" s="2"/>
      <c r="E288" s="2"/>
      <c r="F288" s="3"/>
    </row>
    <row r="289" spans="1:6" ht="15" customHeight="1" x14ac:dyDescent="0.2">
      <c r="A289" s="9" t="s">
        <v>1426</v>
      </c>
      <c r="B289" s="9" t="s">
        <v>1427</v>
      </c>
      <c r="C289" s="9" t="s">
        <v>862</v>
      </c>
      <c r="D289" s="8"/>
      <c r="E289" s="8"/>
      <c r="F289" s="9"/>
    </row>
    <row r="290" spans="1:6" ht="15" customHeight="1" x14ac:dyDescent="0.2">
      <c r="A290" s="3" t="s">
        <v>1428</v>
      </c>
      <c r="B290" s="3" t="s">
        <v>1429</v>
      </c>
      <c r="C290" s="3" t="s">
        <v>862</v>
      </c>
      <c r="D290" s="2"/>
      <c r="E290" s="2"/>
      <c r="F290" s="3"/>
    </row>
    <row r="291" spans="1:6" ht="15" customHeight="1" x14ac:dyDescent="0.2">
      <c r="A291" s="9" t="s">
        <v>1430</v>
      </c>
      <c r="B291" s="9" t="s">
        <v>1431</v>
      </c>
      <c r="C291" s="9" t="s">
        <v>862</v>
      </c>
      <c r="D291" s="8"/>
      <c r="E291" s="8"/>
      <c r="F291" s="9"/>
    </row>
    <row r="292" spans="1:6" ht="15" customHeight="1" x14ac:dyDescent="0.2">
      <c r="A292" s="3" t="s">
        <v>1432</v>
      </c>
      <c r="B292" s="3" t="s">
        <v>1433</v>
      </c>
      <c r="C292" s="3" t="s">
        <v>862</v>
      </c>
      <c r="D292" s="2"/>
      <c r="E292" s="2"/>
      <c r="F292" s="3"/>
    </row>
    <row r="293" spans="1:6" ht="15" customHeight="1" x14ac:dyDescent="0.2">
      <c r="A293" s="9" t="s">
        <v>1434</v>
      </c>
      <c r="B293" s="9" t="s">
        <v>1435</v>
      </c>
      <c r="C293" s="9" t="s">
        <v>862</v>
      </c>
      <c r="D293" s="8"/>
      <c r="E293" s="8"/>
      <c r="F293" s="9"/>
    </row>
    <row r="294" spans="1:6" ht="15" customHeight="1" x14ac:dyDescent="0.2">
      <c r="A294" s="3" t="s">
        <v>1436</v>
      </c>
      <c r="B294" s="3" t="s">
        <v>1437</v>
      </c>
      <c r="C294" s="3" t="s">
        <v>862</v>
      </c>
      <c r="D294" s="2"/>
      <c r="E294" s="2"/>
      <c r="F294" s="3"/>
    </row>
    <row r="295" spans="1:6" ht="15" customHeight="1" x14ac:dyDescent="0.2">
      <c r="A295" s="9" t="s">
        <v>1438</v>
      </c>
      <c r="B295" s="9" t="s">
        <v>1439</v>
      </c>
      <c r="C295" s="9" t="s">
        <v>862</v>
      </c>
      <c r="D295" s="8"/>
      <c r="E295" s="8"/>
      <c r="F295" s="9"/>
    </row>
    <row r="296" spans="1:6" ht="15" customHeight="1" x14ac:dyDescent="0.2">
      <c r="A296" s="3" t="s">
        <v>1440</v>
      </c>
      <c r="B296" s="3" t="s">
        <v>1329</v>
      </c>
      <c r="C296" s="3" t="s">
        <v>862</v>
      </c>
      <c r="D296" s="2"/>
      <c r="E296" s="2"/>
      <c r="F296" s="3"/>
    </row>
    <row r="297" spans="1:6" ht="15" customHeight="1" x14ac:dyDescent="0.2">
      <c r="A297" s="9" t="s">
        <v>1441</v>
      </c>
      <c r="B297" s="9" t="s">
        <v>1442</v>
      </c>
      <c r="C297" s="9" t="s">
        <v>862</v>
      </c>
      <c r="D297" s="8"/>
      <c r="E297" s="8"/>
      <c r="F297" s="9"/>
    </row>
    <row r="298" spans="1:6" ht="15" customHeight="1" x14ac:dyDescent="0.2">
      <c r="A298" s="3" t="s">
        <v>1443</v>
      </c>
      <c r="B298" s="3" t="s">
        <v>1444</v>
      </c>
      <c r="C298" s="3" t="s">
        <v>862</v>
      </c>
      <c r="D298" s="2"/>
      <c r="E298" s="2"/>
      <c r="F298" s="3"/>
    </row>
    <row r="299" spans="1:6" ht="15" customHeight="1" x14ac:dyDescent="0.2">
      <c r="A299" s="9" t="s">
        <v>1445</v>
      </c>
      <c r="B299" s="9" t="s">
        <v>1246</v>
      </c>
      <c r="C299" s="9" t="s">
        <v>862</v>
      </c>
      <c r="D299" s="8"/>
      <c r="E299" s="8"/>
      <c r="F299" s="9"/>
    </row>
    <row r="300" spans="1:6" ht="15" customHeight="1" x14ac:dyDescent="0.2">
      <c r="A300" s="3" t="s">
        <v>1446</v>
      </c>
      <c r="B300" s="3" t="s">
        <v>1447</v>
      </c>
      <c r="C300" s="3" t="s">
        <v>862</v>
      </c>
      <c r="D300" s="2"/>
      <c r="E300" s="2"/>
      <c r="F300" s="3"/>
    </row>
    <row r="301" spans="1:6" ht="15" customHeight="1" x14ac:dyDescent="0.2">
      <c r="A301" s="9" t="s">
        <v>1448</v>
      </c>
      <c r="B301" s="9" t="s">
        <v>1449</v>
      </c>
      <c r="C301" s="9" t="s">
        <v>862</v>
      </c>
      <c r="D301" s="8"/>
      <c r="E301" s="8"/>
      <c r="F301" s="9"/>
    </row>
    <row r="302" spans="1:6" ht="15" customHeight="1" x14ac:dyDescent="0.2">
      <c r="A302" s="3" t="s">
        <v>1450</v>
      </c>
      <c r="B302" s="3" t="s">
        <v>1451</v>
      </c>
      <c r="C302" s="3" t="s">
        <v>862</v>
      </c>
      <c r="D302" s="2"/>
      <c r="E302" s="2"/>
      <c r="F302" s="3"/>
    </row>
    <row r="303" spans="1:6" ht="15" customHeight="1" x14ac:dyDescent="0.2">
      <c r="A303" s="9" t="s">
        <v>1452</v>
      </c>
      <c r="B303" s="9" t="s">
        <v>1453</v>
      </c>
      <c r="C303" s="9" t="s">
        <v>862</v>
      </c>
      <c r="D303" s="8"/>
      <c r="E303" s="8"/>
      <c r="F303" s="9"/>
    </row>
    <row r="304" spans="1:6" ht="15" customHeight="1" x14ac:dyDescent="0.2">
      <c r="A304" s="3" t="s">
        <v>1454</v>
      </c>
      <c r="B304" s="3" t="s">
        <v>1455</v>
      </c>
      <c r="C304" s="3" t="s">
        <v>862</v>
      </c>
      <c r="D304" s="2"/>
      <c r="E304" s="2"/>
      <c r="F304" s="3"/>
    </row>
    <row r="305" spans="1:6" ht="15" customHeight="1" x14ac:dyDescent="0.2">
      <c r="A305" s="9" t="s">
        <v>1456</v>
      </c>
      <c r="B305" s="9" t="s">
        <v>1457</v>
      </c>
      <c r="C305" s="9" t="s">
        <v>862</v>
      </c>
      <c r="D305" s="8"/>
      <c r="E305" s="8"/>
      <c r="F305" s="9"/>
    </row>
    <row r="306" spans="1:6" ht="15" customHeight="1" x14ac:dyDescent="0.2">
      <c r="A306" s="3" t="s">
        <v>1458</v>
      </c>
      <c r="B306" s="3" t="s">
        <v>1459</v>
      </c>
      <c r="C306" s="3" t="s">
        <v>862</v>
      </c>
      <c r="D306" s="2"/>
      <c r="E306" s="2"/>
      <c r="F306" s="3"/>
    </row>
    <row r="307" spans="1:6" ht="15" customHeight="1" x14ac:dyDescent="0.2">
      <c r="A307" s="9" t="s">
        <v>1460</v>
      </c>
      <c r="B307" s="9" t="s">
        <v>1461</v>
      </c>
      <c r="C307" s="9" t="s">
        <v>862</v>
      </c>
      <c r="D307" s="8"/>
      <c r="E307" s="8"/>
      <c r="F307" s="9"/>
    </row>
    <row r="308" spans="1:6" ht="15" customHeight="1" x14ac:dyDescent="0.2">
      <c r="A308" s="3" t="s">
        <v>1462</v>
      </c>
      <c r="B308" s="3" t="s">
        <v>1463</v>
      </c>
      <c r="C308" s="3" t="s">
        <v>862</v>
      </c>
      <c r="D308" s="2"/>
      <c r="E308" s="2"/>
      <c r="F308" s="3"/>
    </row>
    <row r="309" spans="1:6" ht="15" customHeight="1" x14ac:dyDescent="0.2">
      <c r="A309" s="9" t="s">
        <v>1464</v>
      </c>
      <c r="B309" s="9" t="s">
        <v>1256</v>
      </c>
      <c r="C309" s="9" t="s">
        <v>862</v>
      </c>
      <c r="D309" s="8"/>
      <c r="E309" s="8"/>
      <c r="F309" s="9"/>
    </row>
    <row r="310" spans="1:6" ht="15" customHeight="1" x14ac:dyDescent="0.2">
      <c r="A310" s="3" t="s">
        <v>1465</v>
      </c>
      <c r="B310" s="3" t="s">
        <v>1466</v>
      </c>
      <c r="C310" s="3" t="s">
        <v>862</v>
      </c>
      <c r="D310" s="2"/>
      <c r="E310" s="2"/>
      <c r="F310" s="3"/>
    </row>
    <row r="311" spans="1:6" ht="15" customHeight="1" x14ac:dyDescent="0.2">
      <c r="A311" s="9" t="s">
        <v>1467</v>
      </c>
      <c r="B311" s="9" t="s">
        <v>1468</v>
      </c>
      <c r="C311" s="9" t="s">
        <v>862</v>
      </c>
      <c r="D311" s="8"/>
      <c r="E311" s="8"/>
      <c r="F311" s="9"/>
    </row>
    <row r="312" spans="1:6" ht="15" customHeight="1" x14ac:dyDescent="0.2">
      <c r="A312" s="3" t="s">
        <v>1469</v>
      </c>
      <c r="B312" s="3" t="s">
        <v>1282</v>
      </c>
      <c r="C312" s="3" t="s">
        <v>862</v>
      </c>
      <c r="D312" s="2"/>
      <c r="E312" s="2"/>
      <c r="F312" s="3"/>
    </row>
    <row r="313" spans="1:6" ht="15" customHeight="1" x14ac:dyDescent="0.2">
      <c r="A313" s="9" t="s">
        <v>1470</v>
      </c>
      <c r="B313" s="9" t="s">
        <v>1471</v>
      </c>
      <c r="C313" s="9" t="s">
        <v>862</v>
      </c>
      <c r="D313" s="8"/>
      <c r="E313" s="8"/>
      <c r="F313" s="9"/>
    </row>
    <row r="314" spans="1:6" ht="15" customHeight="1" x14ac:dyDescent="0.2">
      <c r="A314" s="3" t="s">
        <v>1472</v>
      </c>
      <c r="B314" s="3" t="s">
        <v>1473</v>
      </c>
      <c r="C314" s="3" t="s">
        <v>862</v>
      </c>
      <c r="D314" s="2"/>
      <c r="E314" s="2"/>
      <c r="F314" s="3"/>
    </row>
    <row r="315" spans="1:6" ht="15" customHeight="1" x14ac:dyDescent="0.2">
      <c r="A315" s="9" t="s">
        <v>1474</v>
      </c>
      <c r="B315" s="9" t="s">
        <v>1475</v>
      </c>
      <c r="C315" s="9" t="s">
        <v>862</v>
      </c>
      <c r="D315" s="8"/>
      <c r="E315" s="8"/>
      <c r="F315" s="9"/>
    </row>
    <row r="316" spans="1:6" ht="15" customHeight="1" x14ac:dyDescent="0.2">
      <c r="A316" s="3" t="s">
        <v>1476</v>
      </c>
      <c r="B316" s="3" t="s">
        <v>1477</v>
      </c>
      <c r="C316" s="3" t="s">
        <v>862</v>
      </c>
      <c r="D316" s="2"/>
      <c r="E316" s="2"/>
      <c r="F316" s="3"/>
    </row>
    <row r="317" spans="1:6" ht="15" customHeight="1" x14ac:dyDescent="0.2">
      <c r="A317" s="9" t="s">
        <v>1478</v>
      </c>
      <c r="B317" s="9" t="s">
        <v>1479</v>
      </c>
      <c r="C317" s="9" t="s">
        <v>862</v>
      </c>
      <c r="D317" s="8"/>
      <c r="E317" s="8"/>
      <c r="F317" s="9"/>
    </row>
    <row r="318" spans="1:6" ht="15" customHeight="1" x14ac:dyDescent="0.2">
      <c r="A318" s="3" t="s">
        <v>1480</v>
      </c>
      <c r="B318" s="3" t="s">
        <v>1481</v>
      </c>
      <c r="C318" s="3" t="s">
        <v>862</v>
      </c>
      <c r="D318" s="2"/>
      <c r="E318" s="2"/>
      <c r="F318" s="3"/>
    </row>
    <row r="319" spans="1:6" ht="15" customHeight="1" x14ac:dyDescent="0.2">
      <c r="A319" s="9" t="s">
        <v>1482</v>
      </c>
      <c r="B319" s="9" t="s">
        <v>1483</v>
      </c>
      <c r="C319" s="9" t="s">
        <v>862</v>
      </c>
      <c r="D319" s="8"/>
      <c r="E319" s="8"/>
      <c r="F319" s="9"/>
    </row>
    <row r="320" spans="1:6" ht="15" customHeight="1" x14ac:dyDescent="0.2">
      <c r="A320" s="3" t="s">
        <v>1484</v>
      </c>
      <c r="B320" s="3" t="s">
        <v>1485</v>
      </c>
      <c r="C320" s="3" t="s">
        <v>862</v>
      </c>
      <c r="D320" s="2"/>
      <c r="E320" s="2"/>
      <c r="F320" s="3"/>
    </row>
    <row r="321" spans="1:6" ht="15" customHeight="1" x14ac:dyDescent="0.2">
      <c r="A321" s="9" t="s">
        <v>1486</v>
      </c>
      <c r="B321" s="9" t="s">
        <v>1487</v>
      </c>
      <c r="C321" s="9" t="s">
        <v>862</v>
      </c>
      <c r="D321" s="8"/>
      <c r="E321" s="8"/>
      <c r="F321" s="9"/>
    </row>
    <row r="322" spans="1:6" ht="15" customHeight="1" x14ac:dyDescent="0.2">
      <c r="A322" s="3" t="s">
        <v>1488</v>
      </c>
      <c r="B322" s="3" t="s">
        <v>1489</v>
      </c>
      <c r="C322" s="3" t="s">
        <v>862</v>
      </c>
      <c r="D322" s="2"/>
      <c r="E322" s="2"/>
      <c r="F322" s="3"/>
    </row>
    <row r="323" spans="1:6" ht="15" customHeight="1" x14ac:dyDescent="0.2">
      <c r="A323" s="9" t="s">
        <v>1490</v>
      </c>
      <c r="B323" s="9" t="s">
        <v>1226</v>
      </c>
      <c r="C323" s="9" t="s">
        <v>862</v>
      </c>
      <c r="D323" s="8"/>
      <c r="E323" s="8"/>
      <c r="F323" s="9"/>
    </row>
    <row r="324" spans="1:6" ht="15" customHeight="1" x14ac:dyDescent="0.2">
      <c r="A324" s="3" t="s">
        <v>1491</v>
      </c>
      <c r="B324" s="3" t="s">
        <v>1492</v>
      </c>
      <c r="C324" s="3" t="s">
        <v>862</v>
      </c>
      <c r="D324" s="2"/>
      <c r="E324" s="2"/>
      <c r="F324" s="3"/>
    </row>
    <row r="325" spans="1:6" ht="15" customHeight="1" x14ac:dyDescent="0.2">
      <c r="A325" s="9" t="s">
        <v>1493</v>
      </c>
      <c r="B325" s="9" t="s">
        <v>1494</v>
      </c>
      <c r="C325" s="9" t="s">
        <v>862</v>
      </c>
      <c r="D325" s="8"/>
      <c r="E325" s="8"/>
      <c r="F325" s="9"/>
    </row>
    <row r="326" spans="1:6" ht="15" customHeight="1" x14ac:dyDescent="0.2">
      <c r="A326" s="3" t="s">
        <v>1495</v>
      </c>
      <c r="B326" s="3" t="s">
        <v>1496</v>
      </c>
      <c r="C326" s="3" t="s">
        <v>862</v>
      </c>
      <c r="D326" s="2"/>
      <c r="E326" s="2"/>
      <c r="F326" s="3"/>
    </row>
    <row r="327" spans="1:6" ht="15" customHeight="1" x14ac:dyDescent="0.2">
      <c r="A327" s="9" t="s">
        <v>1497</v>
      </c>
      <c r="B327" s="9" t="s">
        <v>1498</v>
      </c>
      <c r="C327" s="9" t="s">
        <v>862</v>
      </c>
      <c r="D327" s="8"/>
      <c r="E327" s="8"/>
      <c r="F327" s="9"/>
    </row>
    <row r="328" spans="1:6" ht="15" customHeight="1" x14ac:dyDescent="0.2">
      <c r="A328" s="3" t="s">
        <v>1499</v>
      </c>
      <c r="B328" s="3" t="s">
        <v>1236</v>
      </c>
      <c r="C328" s="3" t="s">
        <v>862</v>
      </c>
      <c r="D328" s="2"/>
      <c r="E328" s="2"/>
      <c r="F328" s="3"/>
    </row>
    <row r="329" spans="1:6" ht="15" customHeight="1" x14ac:dyDescent="0.2">
      <c r="A329" s="9" t="s">
        <v>1500</v>
      </c>
      <c r="B329" s="9" t="s">
        <v>1501</v>
      </c>
      <c r="C329" s="9" t="s">
        <v>862</v>
      </c>
      <c r="D329" s="8"/>
      <c r="E329" s="8"/>
      <c r="F329" s="9"/>
    </row>
    <row r="330" spans="1:6" ht="15" customHeight="1" x14ac:dyDescent="0.2">
      <c r="A330" s="3" t="s">
        <v>1502</v>
      </c>
      <c r="B330" s="3" t="s">
        <v>1503</v>
      </c>
      <c r="C330" s="3" t="s">
        <v>862</v>
      </c>
      <c r="D330" s="2"/>
      <c r="E330" s="2"/>
      <c r="F330" s="3"/>
    </row>
    <row r="331" spans="1:6" ht="15" customHeight="1" x14ac:dyDescent="0.2">
      <c r="A331" s="9" t="s">
        <v>1504</v>
      </c>
      <c r="B331" s="9" t="s">
        <v>1505</v>
      </c>
      <c r="C331" s="9" t="s">
        <v>862</v>
      </c>
      <c r="D331" s="8"/>
      <c r="E331" s="8"/>
      <c r="F331" s="9"/>
    </row>
    <row r="332" spans="1:6" ht="15" customHeight="1" x14ac:dyDescent="0.2">
      <c r="A332" s="3" t="s">
        <v>1506</v>
      </c>
      <c r="B332" s="3" t="s">
        <v>1507</v>
      </c>
      <c r="C332" s="3" t="s">
        <v>862</v>
      </c>
      <c r="D332" s="2"/>
      <c r="E332" s="2"/>
      <c r="F332" s="3"/>
    </row>
    <row r="333" spans="1:6" ht="15" customHeight="1" x14ac:dyDescent="0.2">
      <c r="A333" s="9" t="s">
        <v>1508</v>
      </c>
      <c r="B333" s="9" t="s">
        <v>1242</v>
      </c>
      <c r="C333" s="9" t="s">
        <v>862</v>
      </c>
      <c r="D333" s="8"/>
      <c r="E333" s="8"/>
      <c r="F333" s="9"/>
    </row>
    <row r="334" spans="1:6" ht="15" customHeight="1" x14ac:dyDescent="0.2">
      <c r="A334" s="3" t="s">
        <v>1509</v>
      </c>
      <c r="B334" s="3" t="s">
        <v>1226</v>
      </c>
      <c r="C334" s="3" t="s">
        <v>862</v>
      </c>
      <c r="D334" s="2"/>
      <c r="E334" s="2"/>
      <c r="F334" s="3"/>
    </row>
    <row r="335" spans="1:6" ht="15" customHeight="1" x14ac:dyDescent="0.2">
      <c r="A335" s="9" t="s">
        <v>1510</v>
      </c>
      <c r="B335" s="9" t="s">
        <v>1242</v>
      </c>
      <c r="C335" s="9" t="s">
        <v>862</v>
      </c>
      <c r="D335" s="8"/>
      <c r="E335" s="8"/>
      <c r="F335" s="9"/>
    </row>
    <row r="336" spans="1:6" ht="15" customHeight="1" x14ac:dyDescent="0.2">
      <c r="A336" s="3" t="s">
        <v>1511</v>
      </c>
      <c r="B336" s="3" t="s">
        <v>1512</v>
      </c>
      <c r="C336" s="3" t="s">
        <v>862</v>
      </c>
      <c r="D336" s="2"/>
      <c r="E336" s="2"/>
      <c r="F336" s="3"/>
    </row>
    <row r="337" spans="1:6" ht="15" customHeight="1" x14ac:dyDescent="0.2">
      <c r="A337" s="9" t="s">
        <v>1513</v>
      </c>
      <c r="B337" s="9" t="s">
        <v>1514</v>
      </c>
      <c r="C337" s="9" t="s">
        <v>862</v>
      </c>
      <c r="D337" s="8"/>
      <c r="E337" s="8"/>
      <c r="F337" s="9"/>
    </row>
    <row r="338" spans="1:6" ht="15" customHeight="1" x14ac:dyDescent="0.2">
      <c r="A338" s="3" t="s">
        <v>1515</v>
      </c>
      <c r="B338" s="3" t="s">
        <v>1516</v>
      </c>
      <c r="C338" s="3" t="s">
        <v>862</v>
      </c>
      <c r="D338" s="2"/>
      <c r="E338" s="2"/>
      <c r="F338" s="3"/>
    </row>
    <row r="339" spans="1:6" ht="15" customHeight="1" x14ac:dyDescent="0.2">
      <c r="A339" s="9" t="s">
        <v>1517</v>
      </c>
      <c r="B339" s="9" t="s">
        <v>1518</v>
      </c>
      <c r="C339" s="9" t="s">
        <v>862</v>
      </c>
      <c r="D339" s="8"/>
      <c r="E339" s="8"/>
      <c r="F339" s="9"/>
    </row>
    <row r="340" spans="1:6" ht="15" customHeight="1" x14ac:dyDescent="0.2">
      <c r="A340" s="3" t="s">
        <v>1519</v>
      </c>
      <c r="B340" s="3" t="s">
        <v>1520</v>
      </c>
      <c r="C340" s="3" t="s">
        <v>862</v>
      </c>
      <c r="D340" s="2"/>
      <c r="E340" s="2"/>
      <c r="F340" s="3"/>
    </row>
    <row r="341" spans="1:6" ht="15" customHeight="1" x14ac:dyDescent="0.2">
      <c r="A341" s="9" t="s">
        <v>1521</v>
      </c>
      <c r="B341" s="9" t="s">
        <v>1522</v>
      </c>
      <c r="C341" s="9" t="s">
        <v>862</v>
      </c>
      <c r="D341" s="8"/>
      <c r="E341" s="8"/>
      <c r="F341" s="9"/>
    </row>
    <row r="342" spans="1:6" ht="15" customHeight="1" x14ac:dyDescent="0.2">
      <c r="A342" s="3" t="s">
        <v>1523</v>
      </c>
      <c r="B342" s="3" t="s">
        <v>1242</v>
      </c>
      <c r="C342" s="3" t="s">
        <v>862</v>
      </c>
      <c r="D342" s="2"/>
      <c r="E342" s="2"/>
      <c r="F342" s="3"/>
    </row>
    <row r="343" spans="1:6" ht="15" customHeight="1" x14ac:dyDescent="0.2">
      <c r="A343" s="9" t="s">
        <v>1524</v>
      </c>
      <c r="B343" s="9" t="s">
        <v>1525</v>
      </c>
      <c r="C343" s="9" t="s">
        <v>862</v>
      </c>
      <c r="D343" s="8"/>
      <c r="E343" s="8"/>
      <c r="F343" s="9"/>
    </row>
    <row r="344" spans="1:6" ht="15" customHeight="1" x14ac:dyDescent="0.2">
      <c r="A344" s="3" t="s">
        <v>1526</v>
      </c>
      <c r="B344" s="3" t="s">
        <v>1527</v>
      </c>
      <c r="C344" s="3" t="s">
        <v>862</v>
      </c>
      <c r="D344" s="2"/>
      <c r="E344" s="2"/>
      <c r="F344" s="3"/>
    </row>
    <row r="345" spans="1:6" ht="15" customHeight="1" x14ac:dyDescent="0.2">
      <c r="A345" s="9" t="s">
        <v>1528</v>
      </c>
      <c r="B345" s="9" t="s">
        <v>1230</v>
      </c>
      <c r="C345" s="9" t="s">
        <v>862</v>
      </c>
      <c r="D345" s="8"/>
      <c r="E345" s="8"/>
      <c r="F345" s="9"/>
    </row>
    <row r="346" spans="1:6" ht="15" customHeight="1" x14ac:dyDescent="0.2">
      <c r="A346" s="3" t="s">
        <v>1529</v>
      </c>
      <c r="B346" s="3" t="s">
        <v>1530</v>
      </c>
      <c r="C346" s="3" t="s">
        <v>862</v>
      </c>
      <c r="D346" s="2"/>
      <c r="E346" s="2"/>
      <c r="F346" s="3"/>
    </row>
    <row r="347" spans="1:6" ht="15" customHeight="1" x14ac:dyDescent="0.2">
      <c r="A347" s="9" t="s">
        <v>1531</v>
      </c>
      <c r="B347" s="9" t="s">
        <v>1532</v>
      </c>
      <c r="C347" s="9" t="s">
        <v>862</v>
      </c>
      <c r="D347" s="8"/>
      <c r="E347" s="8"/>
      <c r="F347" s="9"/>
    </row>
    <row r="348" spans="1:6" ht="15" customHeight="1" x14ac:dyDescent="0.2">
      <c r="A348" s="3" t="s">
        <v>1533</v>
      </c>
      <c r="B348" s="3" t="s">
        <v>1534</v>
      </c>
      <c r="C348" s="3" t="s">
        <v>862</v>
      </c>
      <c r="D348" s="2"/>
      <c r="E348" s="2"/>
      <c r="F348" s="3"/>
    </row>
    <row r="349" spans="1:6" ht="15" customHeight="1" x14ac:dyDescent="0.2">
      <c r="A349" s="9" t="s">
        <v>1535</v>
      </c>
      <c r="B349" s="9" t="s">
        <v>1282</v>
      </c>
      <c r="C349" s="9" t="s">
        <v>862</v>
      </c>
      <c r="D349" s="8"/>
      <c r="E349" s="8"/>
      <c r="F349" s="9"/>
    </row>
    <row r="350" spans="1:6" ht="15" customHeight="1" x14ac:dyDescent="0.2">
      <c r="A350" s="3" t="s">
        <v>1536</v>
      </c>
      <c r="B350" s="3" t="s">
        <v>1537</v>
      </c>
      <c r="C350" s="3" t="s">
        <v>862</v>
      </c>
      <c r="D350" s="2"/>
      <c r="E350" s="2"/>
      <c r="F350" s="3"/>
    </row>
    <row r="351" spans="1:6" ht="15" customHeight="1" x14ac:dyDescent="0.2">
      <c r="A351" s="9" t="s">
        <v>1538</v>
      </c>
      <c r="B351" s="9" t="s">
        <v>1539</v>
      </c>
      <c r="C351" s="9" t="s">
        <v>862</v>
      </c>
      <c r="D351" s="8"/>
      <c r="E351" s="8"/>
      <c r="F351" s="9"/>
    </row>
    <row r="352" spans="1:6" ht="15" customHeight="1" x14ac:dyDescent="0.2">
      <c r="A352" s="3" t="s">
        <v>1540</v>
      </c>
      <c r="B352" s="3" t="s">
        <v>1541</v>
      </c>
      <c r="C352" s="3" t="s">
        <v>862</v>
      </c>
      <c r="D352" s="2"/>
      <c r="E352" s="2"/>
      <c r="F352" s="3"/>
    </row>
    <row r="353" spans="1:6" ht="15" customHeight="1" x14ac:dyDescent="0.2">
      <c r="A353" s="9" t="s">
        <v>1542</v>
      </c>
      <c r="B353" s="9" t="s">
        <v>1543</v>
      </c>
      <c r="C353" s="9" t="s">
        <v>862</v>
      </c>
      <c r="D353" s="8"/>
      <c r="E353" s="8"/>
      <c r="F353" s="9"/>
    </row>
    <row r="354" spans="1:6" ht="15" customHeight="1" x14ac:dyDescent="0.2">
      <c r="A354" s="3" t="s">
        <v>1544</v>
      </c>
      <c r="B354" s="3" t="s">
        <v>1545</v>
      </c>
      <c r="C354" s="3" t="s">
        <v>862</v>
      </c>
      <c r="D354" s="2"/>
      <c r="E354" s="2"/>
      <c r="F354" s="3"/>
    </row>
    <row r="355" spans="1:6" ht="15" customHeight="1" x14ac:dyDescent="0.2">
      <c r="A355" s="9" t="s">
        <v>1546</v>
      </c>
      <c r="B355" s="9" t="s">
        <v>1547</v>
      </c>
      <c r="C355" s="9" t="s">
        <v>862</v>
      </c>
      <c r="D355" s="8"/>
      <c r="E355" s="8"/>
      <c r="F355" s="9"/>
    </row>
    <row r="356" spans="1:6" ht="15" customHeight="1" x14ac:dyDescent="0.2">
      <c r="A356" s="3" t="s">
        <v>1548</v>
      </c>
      <c r="B356" s="3" t="s">
        <v>1549</v>
      </c>
      <c r="C356" s="3" t="s">
        <v>862</v>
      </c>
      <c r="D356" s="2"/>
      <c r="E356" s="2"/>
      <c r="F356" s="3"/>
    </row>
    <row r="357" spans="1:6" ht="15" customHeight="1" x14ac:dyDescent="0.2">
      <c r="A357" s="9" t="s">
        <v>1550</v>
      </c>
      <c r="B357" s="9" t="s">
        <v>1498</v>
      </c>
      <c r="C357" s="9" t="s">
        <v>862</v>
      </c>
      <c r="D357" s="8"/>
      <c r="E357" s="8"/>
      <c r="F357" s="9"/>
    </row>
    <row r="358" spans="1:6" ht="15" customHeight="1" x14ac:dyDescent="0.2">
      <c r="A358" s="3" t="s">
        <v>1551</v>
      </c>
      <c r="B358" s="3" t="s">
        <v>1552</v>
      </c>
      <c r="C358" s="3" t="s">
        <v>862</v>
      </c>
      <c r="D358" s="2"/>
      <c r="E358" s="2"/>
      <c r="F358" s="3"/>
    </row>
    <row r="359" spans="1:6" ht="15" customHeight="1" x14ac:dyDescent="0.2">
      <c r="A359" s="9" t="s">
        <v>1553</v>
      </c>
      <c r="B359" s="9" t="s">
        <v>1554</v>
      </c>
      <c r="C359" s="9" t="s">
        <v>862</v>
      </c>
      <c r="D359" s="8"/>
      <c r="E359" s="8"/>
      <c r="F359" s="9"/>
    </row>
    <row r="360" spans="1:6" ht="15" customHeight="1" x14ac:dyDescent="0.2">
      <c r="A360" s="3" t="s">
        <v>1555</v>
      </c>
      <c r="B360" s="3" t="s">
        <v>1268</v>
      </c>
      <c r="C360" s="3" t="s">
        <v>862</v>
      </c>
      <c r="D360" s="2"/>
      <c r="E360" s="2"/>
      <c r="F360" s="3"/>
    </row>
    <row r="361" spans="1:6" ht="15" customHeight="1" x14ac:dyDescent="0.2">
      <c r="A361" s="9" t="s">
        <v>1556</v>
      </c>
      <c r="B361" s="9" t="s">
        <v>1284</v>
      </c>
      <c r="C361" s="9" t="s">
        <v>862</v>
      </c>
      <c r="D361" s="8"/>
      <c r="E361" s="8"/>
      <c r="F361" s="9"/>
    </row>
    <row r="362" spans="1:6" ht="15" customHeight="1" x14ac:dyDescent="0.2">
      <c r="A362" s="3" t="s">
        <v>1557</v>
      </c>
      <c r="B362" s="3" t="s">
        <v>1558</v>
      </c>
      <c r="C362" s="3" t="s">
        <v>862</v>
      </c>
      <c r="D362" s="2"/>
      <c r="E362" s="2"/>
      <c r="F362" s="3"/>
    </row>
    <row r="363" spans="1:6" ht="15" customHeight="1" x14ac:dyDescent="0.2">
      <c r="A363" s="9" t="s">
        <v>1559</v>
      </c>
      <c r="B363" s="9" t="s">
        <v>1256</v>
      </c>
      <c r="C363" s="9" t="s">
        <v>862</v>
      </c>
      <c r="D363" s="8"/>
      <c r="E363" s="8"/>
      <c r="F363" s="9"/>
    </row>
    <row r="364" spans="1:6" ht="15" customHeight="1" x14ac:dyDescent="0.2">
      <c r="A364" s="3" t="s">
        <v>1560</v>
      </c>
      <c r="B364" s="3" t="s">
        <v>1561</v>
      </c>
      <c r="C364" s="3" t="s">
        <v>862</v>
      </c>
      <c r="D364" s="2"/>
      <c r="E364" s="2"/>
      <c r="F364" s="3"/>
    </row>
    <row r="365" spans="1:6" ht="15" customHeight="1" x14ac:dyDescent="0.2">
      <c r="A365" s="9" t="s">
        <v>1562</v>
      </c>
      <c r="B365" s="9" t="s">
        <v>1563</v>
      </c>
      <c r="C365" s="9" t="s">
        <v>862</v>
      </c>
      <c r="D365" s="8"/>
      <c r="E365" s="8"/>
      <c r="F365" s="9"/>
    </row>
    <row r="366" spans="1:6" ht="15" customHeight="1" x14ac:dyDescent="0.2">
      <c r="A366" s="3" t="s">
        <v>1564</v>
      </c>
      <c r="B366" s="3" t="s">
        <v>1565</v>
      </c>
      <c r="C366" s="3" t="s">
        <v>862</v>
      </c>
      <c r="D366" s="2"/>
      <c r="E366" s="2"/>
      <c r="F366" s="3"/>
    </row>
    <row r="367" spans="1:6" ht="15" customHeight="1" x14ac:dyDescent="0.2">
      <c r="A367" s="9" t="s">
        <v>1566</v>
      </c>
      <c r="B367" s="9" t="s">
        <v>1567</v>
      </c>
      <c r="C367" s="9" t="s">
        <v>862</v>
      </c>
      <c r="D367" s="8"/>
      <c r="E367" s="8"/>
      <c r="F367" s="9"/>
    </row>
    <row r="368" spans="1:6" ht="15" customHeight="1" x14ac:dyDescent="0.2">
      <c r="A368" s="3" t="s">
        <v>1568</v>
      </c>
      <c r="B368" s="3" t="s">
        <v>1569</v>
      </c>
      <c r="C368" s="3" t="s">
        <v>862</v>
      </c>
      <c r="D368" s="2"/>
      <c r="E368" s="2"/>
      <c r="F368" s="3"/>
    </row>
    <row r="369" spans="1:6" ht="15" customHeight="1" x14ac:dyDescent="0.2">
      <c r="A369" s="9" t="s">
        <v>1570</v>
      </c>
      <c r="B369" s="9" t="s">
        <v>1256</v>
      </c>
      <c r="C369" s="9" t="s">
        <v>862</v>
      </c>
      <c r="D369" s="8"/>
      <c r="E369" s="8"/>
      <c r="F369" s="9"/>
    </row>
    <row r="370" spans="1:6" ht="15" customHeight="1" x14ac:dyDescent="0.2">
      <c r="A370" s="3" t="s">
        <v>1571</v>
      </c>
      <c r="B370" s="3" t="s">
        <v>1572</v>
      </c>
      <c r="C370" s="3" t="s">
        <v>862</v>
      </c>
      <c r="D370" s="2"/>
      <c r="E370" s="2"/>
      <c r="F370" s="3"/>
    </row>
    <row r="371" spans="1:6" ht="15" customHeight="1" x14ac:dyDescent="0.2">
      <c r="A371" s="9" t="s">
        <v>1573</v>
      </c>
      <c r="B371" s="9" t="s">
        <v>1574</v>
      </c>
      <c r="C371" s="9" t="s">
        <v>862</v>
      </c>
      <c r="D371" s="8"/>
      <c r="E371" s="8"/>
      <c r="F371" s="9"/>
    </row>
    <row r="372" spans="1:6" ht="15" customHeight="1" x14ac:dyDescent="0.2">
      <c r="A372" s="3" t="s">
        <v>1575</v>
      </c>
      <c r="B372" s="3" t="s">
        <v>1314</v>
      </c>
      <c r="C372" s="3" t="s">
        <v>862</v>
      </c>
      <c r="D372" s="2"/>
      <c r="E372" s="2"/>
      <c r="F372" s="3"/>
    </row>
    <row r="373" spans="1:6" ht="15" customHeight="1" x14ac:dyDescent="0.2">
      <c r="A373" s="9" t="s">
        <v>1576</v>
      </c>
      <c r="B373" s="9" t="s">
        <v>1498</v>
      </c>
      <c r="C373" s="9" t="s">
        <v>862</v>
      </c>
      <c r="D373" s="8"/>
      <c r="E373" s="8"/>
      <c r="F373" s="9"/>
    </row>
    <row r="374" spans="1:6" ht="15" customHeight="1" x14ac:dyDescent="0.2">
      <c r="A374" s="3" t="s">
        <v>1577</v>
      </c>
      <c r="B374" s="3" t="s">
        <v>1578</v>
      </c>
      <c r="C374" s="3" t="s">
        <v>862</v>
      </c>
      <c r="D374" s="2"/>
      <c r="E374" s="2"/>
      <c r="F374" s="3"/>
    </row>
    <row r="375" spans="1:6" ht="15" customHeight="1" x14ac:dyDescent="0.2">
      <c r="A375" s="9" t="s">
        <v>1579</v>
      </c>
      <c r="B375" s="9" t="s">
        <v>1580</v>
      </c>
      <c r="C375" s="9" t="s">
        <v>862</v>
      </c>
      <c r="D375" s="8"/>
      <c r="E375" s="8"/>
      <c r="F375" s="9"/>
    </row>
    <row r="376" spans="1:6" ht="15" customHeight="1" x14ac:dyDescent="0.2">
      <c r="A376" s="3" t="s">
        <v>1581</v>
      </c>
      <c r="B376" s="3" t="s">
        <v>1582</v>
      </c>
      <c r="C376" s="3" t="s">
        <v>862</v>
      </c>
      <c r="D376" s="2"/>
      <c r="E376" s="2"/>
      <c r="F376" s="3"/>
    </row>
    <row r="377" spans="1:6" ht="15" customHeight="1" x14ac:dyDescent="0.2">
      <c r="A377" s="9" t="s">
        <v>1583</v>
      </c>
      <c r="B377" s="9" t="s">
        <v>1584</v>
      </c>
      <c r="C377" s="9" t="s">
        <v>862</v>
      </c>
      <c r="D377" s="8"/>
      <c r="E377" s="8"/>
      <c r="F377" s="9"/>
    </row>
    <row r="378" spans="1:6" ht="15" customHeight="1" x14ac:dyDescent="0.2">
      <c r="A378" s="3" t="s">
        <v>1585</v>
      </c>
      <c r="B378" s="3" t="s">
        <v>1232</v>
      </c>
      <c r="C378" s="3" t="s">
        <v>862</v>
      </c>
      <c r="D378" s="2"/>
      <c r="E378" s="2"/>
      <c r="F378" s="3"/>
    </row>
    <row r="379" spans="1:6" ht="15" customHeight="1" x14ac:dyDescent="0.2">
      <c r="A379" s="9" t="s">
        <v>1586</v>
      </c>
      <c r="B379" s="9" t="s">
        <v>1587</v>
      </c>
      <c r="C379" s="9" t="s">
        <v>862</v>
      </c>
      <c r="D379" s="8"/>
      <c r="E379" s="8"/>
      <c r="F379" s="9"/>
    </row>
    <row r="380" spans="1:6" ht="15" customHeight="1" x14ac:dyDescent="0.2">
      <c r="A380" s="3" t="s">
        <v>1588</v>
      </c>
      <c r="B380" s="3" t="s">
        <v>1433</v>
      </c>
      <c r="C380" s="3" t="s">
        <v>862</v>
      </c>
      <c r="D380" s="2"/>
      <c r="E380" s="2"/>
      <c r="F380" s="3"/>
    </row>
    <row r="381" spans="1:6" ht="15" customHeight="1" x14ac:dyDescent="0.2">
      <c r="A381" s="9" t="s">
        <v>1589</v>
      </c>
      <c r="B381" s="9" t="s">
        <v>1590</v>
      </c>
      <c r="C381" s="9" t="s">
        <v>862</v>
      </c>
      <c r="D381" s="8"/>
      <c r="E381" s="8"/>
      <c r="F381" s="9"/>
    </row>
    <row r="382" spans="1:6" ht="15" customHeight="1" x14ac:dyDescent="0.2">
      <c r="A382" s="3" t="s">
        <v>1591</v>
      </c>
      <c r="B382" s="3" t="s">
        <v>1592</v>
      </c>
      <c r="C382" s="3" t="s">
        <v>862</v>
      </c>
      <c r="D382" s="2"/>
      <c r="E382" s="2"/>
      <c r="F382" s="3"/>
    </row>
    <row r="383" spans="1:6" ht="15" customHeight="1" x14ac:dyDescent="0.2">
      <c r="A383" s="9" t="s">
        <v>1593</v>
      </c>
      <c r="B383" s="9" t="s">
        <v>1226</v>
      </c>
      <c r="C383" s="9" t="s">
        <v>862</v>
      </c>
      <c r="D383" s="8"/>
      <c r="E383" s="8"/>
      <c r="F383" s="9"/>
    </row>
    <row r="384" spans="1:6" ht="15" customHeight="1" x14ac:dyDescent="0.2">
      <c r="A384" s="3" t="s">
        <v>1594</v>
      </c>
      <c r="B384" s="3" t="s">
        <v>1595</v>
      </c>
      <c r="C384" s="3" t="s">
        <v>862</v>
      </c>
      <c r="D384" s="2"/>
      <c r="E384" s="2"/>
      <c r="F384" s="3"/>
    </row>
    <row r="385" spans="1:6" ht="15" customHeight="1" x14ac:dyDescent="0.2">
      <c r="A385" s="9" t="s">
        <v>1596</v>
      </c>
      <c r="B385" s="9" t="s">
        <v>1597</v>
      </c>
      <c r="C385" s="9" t="s">
        <v>862</v>
      </c>
      <c r="D385" s="8"/>
      <c r="E385" s="8"/>
      <c r="F385" s="9"/>
    </row>
    <row r="386" spans="1:6" ht="15" customHeight="1" x14ac:dyDescent="0.2">
      <c r="A386" s="3" t="s">
        <v>1598</v>
      </c>
      <c r="B386" s="3" t="s">
        <v>1599</v>
      </c>
      <c r="C386" s="3" t="s">
        <v>862</v>
      </c>
      <c r="D386" s="2"/>
      <c r="E386" s="2"/>
      <c r="F386" s="3"/>
    </row>
    <row r="387" spans="1:6" ht="15" customHeight="1" x14ac:dyDescent="0.2">
      <c r="A387" s="9" t="s">
        <v>1600</v>
      </c>
      <c r="B387" s="9" t="s">
        <v>1290</v>
      </c>
      <c r="C387" s="9" t="s">
        <v>862</v>
      </c>
      <c r="D387" s="8"/>
      <c r="E387" s="8"/>
      <c r="F387" s="9"/>
    </row>
    <row r="388" spans="1:6" ht="15" customHeight="1" x14ac:dyDescent="0.2">
      <c r="A388" s="3" t="s">
        <v>1601</v>
      </c>
      <c r="B388" s="3" t="s">
        <v>1602</v>
      </c>
      <c r="C388" s="3" t="s">
        <v>862</v>
      </c>
      <c r="D388" s="2"/>
      <c r="E388" s="2"/>
      <c r="F388" s="3"/>
    </row>
    <row r="389" spans="1:6" ht="15" customHeight="1" x14ac:dyDescent="0.2">
      <c r="A389" s="9" t="s">
        <v>1603</v>
      </c>
      <c r="B389" s="9" t="s">
        <v>1604</v>
      </c>
      <c r="C389" s="9" t="s">
        <v>862</v>
      </c>
      <c r="D389" s="8"/>
      <c r="E389" s="8"/>
      <c r="F389" s="9"/>
    </row>
    <row r="390" spans="1:6" ht="15" customHeight="1" x14ac:dyDescent="0.2">
      <c r="A390" s="3" t="s">
        <v>1605</v>
      </c>
      <c r="B390" s="3" t="s">
        <v>1599</v>
      </c>
      <c r="C390" s="3" t="s">
        <v>862</v>
      </c>
      <c r="D390" s="2"/>
      <c r="E390" s="2"/>
      <c r="F390" s="3"/>
    </row>
    <row r="391" spans="1:6" ht="15" customHeight="1" x14ac:dyDescent="0.2">
      <c r="A391" s="9" t="s">
        <v>1606</v>
      </c>
      <c r="B391" s="9" t="s">
        <v>1572</v>
      </c>
      <c r="C391" s="9" t="s">
        <v>862</v>
      </c>
      <c r="D391" s="8"/>
      <c r="E391" s="8"/>
      <c r="F391" s="9"/>
    </row>
    <row r="392" spans="1:6" ht="15" customHeight="1" x14ac:dyDescent="0.2">
      <c r="A392" s="3" t="s">
        <v>1607</v>
      </c>
      <c r="B392" s="3" t="s">
        <v>1256</v>
      </c>
      <c r="C392" s="3" t="s">
        <v>862</v>
      </c>
      <c r="D392" s="2"/>
      <c r="E392" s="2"/>
      <c r="F392" s="3"/>
    </row>
    <row r="393" spans="1:6" ht="15" customHeight="1" x14ac:dyDescent="0.2">
      <c r="A393" s="9" t="s">
        <v>1608</v>
      </c>
      <c r="B393" s="9" t="s">
        <v>1252</v>
      </c>
      <c r="C393" s="9" t="s">
        <v>862</v>
      </c>
      <c r="D393" s="8"/>
      <c r="E393" s="8"/>
      <c r="F393" s="9"/>
    </row>
    <row r="394" spans="1:6" ht="15" customHeight="1" x14ac:dyDescent="0.2">
      <c r="A394" s="3" t="s">
        <v>1609</v>
      </c>
      <c r="B394" s="3" t="s">
        <v>1610</v>
      </c>
      <c r="C394" s="3" t="s">
        <v>862</v>
      </c>
      <c r="D394" s="2"/>
      <c r="E394" s="2"/>
      <c r="F394" s="3"/>
    </row>
    <row r="395" spans="1:6" ht="15" customHeight="1" x14ac:dyDescent="0.2">
      <c r="A395" s="9" t="s">
        <v>1611</v>
      </c>
      <c r="B395" s="9" t="s">
        <v>1226</v>
      </c>
      <c r="C395" s="9" t="s">
        <v>862</v>
      </c>
      <c r="D395" s="8"/>
      <c r="E395" s="8"/>
      <c r="F395" s="9"/>
    </row>
    <row r="396" spans="1:6" ht="15" customHeight="1" x14ac:dyDescent="0.2">
      <c r="A396" s="3" t="s">
        <v>1612</v>
      </c>
      <c r="B396" s="3" t="s">
        <v>1473</v>
      </c>
      <c r="C396" s="3" t="s">
        <v>862</v>
      </c>
      <c r="D396" s="2"/>
      <c r="E396" s="2"/>
      <c r="F396" s="3"/>
    </row>
    <row r="397" spans="1:6" ht="15" customHeight="1" x14ac:dyDescent="0.2">
      <c r="A397" s="9" t="s">
        <v>1613</v>
      </c>
      <c r="B397" s="9" t="s">
        <v>1532</v>
      </c>
      <c r="C397" s="9" t="s">
        <v>862</v>
      </c>
      <c r="D397" s="8"/>
      <c r="E397" s="8"/>
      <c r="F397" s="9"/>
    </row>
    <row r="398" spans="1:6" ht="15" customHeight="1" x14ac:dyDescent="0.2">
      <c r="A398" s="3" t="s">
        <v>1614</v>
      </c>
      <c r="B398" s="3" t="s">
        <v>1615</v>
      </c>
      <c r="C398" s="3" t="s">
        <v>862</v>
      </c>
      <c r="D398" s="2"/>
      <c r="E398" s="2"/>
      <c r="F398" s="3"/>
    </row>
    <row r="399" spans="1:6" ht="15" customHeight="1" x14ac:dyDescent="0.2">
      <c r="A399" s="9" t="s">
        <v>1616</v>
      </c>
      <c r="B399" s="9" t="s">
        <v>1431</v>
      </c>
      <c r="C399" s="9" t="s">
        <v>862</v>
      </c>
      <c r="D399" s="8"/>
      <c r="E399" s="8"/>
      <c r="F399" s="9"/>
    </row>
    <row r="400" spans="1:6" ht="15" customHeight="1" x14ac:dyDescent="0.2">
      <c r="A400" s="3" t="s">
        <v>1617</v>
      </c>
      <c r="B400" s="3" t="s">
        <v>1618</v>
      </c>
      <c r="C400" s="3" t="s">
        <v>862</v>
      </c>
      <c r="D400" s="2"/>
      <c r="E400" s="2"/>
      <c r="F400" s="3"/>
    </row>
    <row r="401" spans="1:6" ht="15" customHeight="1" x14ac:dyDescent="0.2">
      <c r="A401" s="9" t="s">
        <v>1619</v>
      </c>
      <c r="B401" s="9" t="s">
        <v>1620</v>
      </c>
      <c r="C401" s="9" t="s">
        <v>862</v>
      </c>
      <c r="D401" s="8"/>
      <c r="E401" s="8"/>
      <c r="F401" s="9"/>
    </row>
    <row r="402" spans="1:6" ht="15" customHeight="1" x14ac:dyDescent="0.2">
      <c r="A402" s="3" t="s">
        <v>1621</v>
      </c>
      <c r="B402" s="3" t="s">
        <v>1622</v>
      </c>
      <c r="C402" s="3" t="s">
        <v>862</v>
      </c>
      <c r="D402" s="2"/>
      <c r="E402" s="2"/>
      <c r="F402" s="3"/>
    </row>
    <row r="403" spans="1:6" ht="15" customHeight="1" x14ac:dyDescent="0.2">
      <c r="A403" s="9" t="s">
        <v>1623</v>
      </c>
      <c r="B403" s="9" t="s">
        <v>1624</v>
      </c>
      <c r="C403" s="9" t="s">
        <v>862</v>
      </c>
      <c r="D403" s="8"/>
      <c r="E403" s="8"/>
      <c r="F403" s="9"/>
    </row>
    <row r="404" spans="1:6" ht="15" customHeight="1" x14ac:dyDescent="0.2">
      <c r="A404" s="3" t="s">
        <v>1625</v>
      </c>
      <c r="B404" s="3" t="s">
        <v>1286</v>
      </c>
      <c r="C404" s="3" t="s">
        <v>862</v>
      </c>
      <c r="D404" s="2"/>
      <c r="E404" s="2"/>
      <c r="F404" s="3"/>
    </row>
    <row r="405" spans="1:6" ht="15" customHeight="1" x14ac:dyDescent="0.2">
      <c r="A405" s="9" t="s">
        <v>1626</v>
      </c>
      <c r="B405" s="9" t="s">
        <v>1627</v>
      </c>
      <c r="C405" s="9" t="s">
        <v>862</v>
      </c>
      <c r="D405" s="8"/>
      <c r="E405" s="8"/>
      <c r="F405" s="9"/>
    </row>
    <row r="406" spans="1:6" ht="15" customHeight="1" x14ac:dyDescent="0.2">
      <c r="A406" s="3" t="s">
        <v>1628</v>
      </c>
      <c r="B406" s="3" t="s">
        <v>1629</v>
      </c>
      <c r="C406" s="3" t="s">
        <v>862</v>
      </c>
      <c r="D406" s="2"/>
      <c r="E406" s="2"/>
      <c r="F406" s="3"/>
    </row>
    <row r="407" spans="1:6" ht="15" customHeight="1" x14ac:dyDescent="0.2">
      <c r="A407" s="9" t="s">
        <v>1630</v>
      </c>
      <c r="B407" s="9" t="s">
        <v>1631</v>
      </c>
      <c r="C407" s="9" t="s">
        <v>862</v>
      </c>
      <c r="D407" s="8"/>
      <c r="E407" s="8"/>
      <c r="F407" s="9"/>
    </row>
    <row r="408" spans="1:6" ht="15" customHeight="1" x14ac:dyDescent="0.2">
      <c r="A408" s="3" t="s">
        <v>1632</v>
      </c>
      <c r="B408" s="3" t="s">
        <v>1236</v>
      </c>
      <c r="C408" s="3" t="s">
        <v>862</v>
      </c>
      <c r="D408" s="2"/>
      <c r="E408" s="2"/>
      <c r="F408" s="3"/>
    </row>
    <row r="409" spans="1:6" ht="15" customHeight="1" x14ac:dyDescent="0.2">
      <c r="A409" s="9" t="s">
        <v>1633</v>
      </c>
      <c r="B409" s="9" t="s">
        <v>1634</v>
      </c>
      <c r="C409" s="9" t="s">
        <v>862</v>
      </c>
      <c r="D409" s="8"/>
      <c r="E409" s="8"/>
      <c r="F409" s="9"/>
    </row>
    <row r="410" spans="1:6" ht="15" customHeight="1" x14ac:dyDescent="0.2">
      <c r="A410" s="3" t="s">
        <v>1635</v>
      </c>
      <c r="B410" s="3" t="s">
        <v>1558</v>
      </c>
      <c r="C410" s="3" t="s">
        <v>862</v>
      </c>
      <c r="D410" s="2"/>
      <c r="E410" s="2"/>
      <c r="F410" s="3"/>
    </row>
    <row r="411" spans="1:6" ht="15" customHeight="1" x14ac:dyDescent="0.2">
      <c r="A411" s="9" t="s">
        <v>1636</v>
      </c>
      <c r="B411" s="9" t="s">
        <v>1637</v>
      </c>
      <c r="C411" s="9" t="s">
        <v>862</v>
      </c>
      <c r="D411" s="8"/>
      <c r="E411" s="8"/>
      <c r="F411" s="9"/>
    </row>
    <row r="412" spans="1:6" ht="15" customHeight="1" x14ac:dyDescent="0.2">
      <c r="A412" s="3" t="s">
        <v>1638</v>
      </c>
      <c r="B412" s="3" t="s">
        <v>1228</v>
      </c>
      <c r="C412" s="3" t="s">
        <v>862</v>
      </c>
      <c r="D412" s="2"/>
      <c r="E412" s="2"/>
      <c r="F412" s="3"/>
    </row>
    <row r="413" spans="1:6" ht="15" customHeight="1" x14ac:dyDescent="0.2">
      <c r="A413" s="9" t="s">
        <v>1639</v>
      </c>
      <c r="B413" s="9" t="s">
        <v>1640</v>
      </c>
      <c r="C413" s="9" t="s">
        <v>862</v>
      </c>
      <c r="D413" s="8"/>
      <c r="E413" s="8"/>
      <c r="F413" s="9"/>
    </row>
    <row r="414" spans="1:6" ht="15" customHeight="1" x14ac:dyDescent="0.2">
      <c r="A414" s="3" t="s">
        <v>1641</v>
      </c>
      <c r="B414" s="3" t="s">
        <v>1417</v>
      </c>
      <c r="C414" s="3" t="s">
        <v>862</v>
      </c>
      <c r="D414" s="2"/>
      <c r="E414" s="2"/>
      <c r="F414" s="3"/>
    </row>
    <row r="415" spans="1:6" ht="15" customHeight="1" x14ac:dyDescent="0.2">
      <c r="A415" s="9" t="s">
        <v>1642</v>
      </c>
      <c r="B415" s="9" t="s">
        <v>1236</v>
      </c>
      <c r="C415" s="9" t="s">
        <v>862</v>
      </c>
      <c r="D415" s="8"/>
      <c r="E415" s="8"/>
      <c r="F415" s="9"/>
    </row>
    <row r="416" spans="1:6" ht="15" customHeight="1" x14ac:dyDescent="0.2">
      <c r="A416" s="3" t="s">
        <v>1643</v>
      </c>
      <c r="B416" s="3" t="s">
        <v>1644</v>
      </c>
      <c r="C416" s="3" t="s">
        <v>862</v>
      </c>
      <c r="D416" s="2"/>
      <c r="E416" s="2"/>
      <c r="F416" s="3"/>
    </row>
    <row r="417" spans="1:6" ht="15" customHeight="1" x14ac:dyDescent="0.2">
      <c r="A417" s="9" t="s">
        <v>1645</v>
      </c>
      <c r="B417" s="9" t="s">
        <v>1646</v>
      </c>
      <c r="C417" s="9" t="s">
        <v>862</v>
      </c>
      <c r="D417" s="8"/>
      <c r="E417" s="8"/>
      <c r="F417" s="9"/>
    </row>
    <row r="418" spans="1:6" ht="15" customHeight="1" x14ac:dyDescent="0.2">
      <c r="A418" s="3" t="s">
        <v>1647</v>
      </c>
      <c r="B418" s="3" t="s">
        <v>1648</v>
      </c>
      <c r="C418" s="3" t="s">
        <v>862</v>
      </c>
      <c r="D418" s="2"/>
      <c r="E418" s="2"/>
      <c r="F418" s="3"/>
    </row>
    <row r="419" spans="1:6" ht="15" customHeight="1" x14ac:dyDescent="0.2">
      <c r="A419" s="9" t="s">
        <v>1649</v>
      </c>
      <c r="B419" s="9" t="s">
        <v>1650</v>
      </c>
      <c r="C419" s="9" t="s">
        <v>862</v>
      </c>
      <c r="D419" s="8"/>
      <c r="E419" s="8"/>
      <c r="F419" s="9"/>
    </row>
    <row r="420" spans="1:6" ht="15" customHeight="1" x14ac:dyDescent="0.2">
      <c r="A420" s="3" t="s">
        <v>1651</v>
      </c>
      <c r="B420" s="3" t="s">
        <v>1652</v>
      </c>
      <c r="C420" s="3" t="s">
        <v>862</v>
      </c>
      <c r="D420" s="2"/>
      <c r="E420" s="2"/>
      <c r="F420" s="3"/>
    </row>
    <row r="421" spans="1:6" ht="15" customHeight="1" x14ac:dyDescent="0.2">
      <c r="A421" s="9" t="s">
        <v>1653</v>
      </c>
      <c r="B421" s="9" t="s">
        <v>1654</v>
      </c>
      <c r="C421" s="9" t="s">
        <v>862</v>
      </c>
      <c r="D421" s="8"/>
      <c r="E421" s="8"/>
      <c r="F421" s="9"/>
    </row>
    <row r="422" spans="1:6" ht="15" customHeight="1" x14ac:dyDescent="0.2">
      <c r="A422" s="3" t="s">
        <v>1655</v>
      </c>
      <c r="B422" s="3" t="s">
        <v>1319</v>
      </c>
      <c r="C422" s="3" t="s">
        <v>862</v>
      </c>
      <c r="D422" s="2"/>
      <c r="E422" s="2"/>
      <c r="F422" s="3"/>
    </row>
    <row r="423" spans="1:6" ht="15" customHeight="1" x14ac:dyDescent="0.2">
      <c r="A423" s="9" t="s">
        <v>1656</v>
      </c>
      <c r="B423" s="9" t="s">
        <v>1525</v>
      </c>
      <c r="C423" s="9" t="s">
        <v>862</v>
      </c>
      <c r="D423" s="8"/>
      <c r="E423" s="8"/>
      <c r="F423" s="9"/>
    </row>
    <row r="424" spans="1:6" ht="15" customHeight="1" x14ac:dyDescent="0.2">
      <c r="A424" s="3" t="s">
        <v>1657</v>
      </c>
      <c r="B424" s="3" t="s">
        <v>1561</v>
      </c>
      <c r="C424" s="3" t="s">
        <v>862</v>
      </c>
      <c r="D424" s="2"/>
      <c r="E424" s="2"/>
      <c r="F424" s="3"/>
    </row>
    <row r="425" spans="1:6" ht="15" customHeight="1" x14ac:dyDescent="0.2">
      <c r="A425" s="9" t="s">
        <v>1658</v>
      </c>
      <c r="B425" s="9" t="s">
        <v>1659</v>
      </c>
      <c r="C425" s="9" t="s">
        <v>862</v>
      </c>
      <c r="D425" s="8"/>
      <c r="E425" s="8"/>
      <c r="F425" s="9"/>
    </row>
    <row r="426" spans="1:6" ht="15" customHeight="1" x14ac:dyDescent="0.2">
      <c r="A426" s="3" t="s">
        <v>1660</v>
      </c>
      <c r="B426" s="3" t="s">
        <v>1354</v>
      </c>
      <c r="C426" s="3" t="s">
        <v>862</v>
      </c>
      <c r="D426" s="2"/>
      <c r="E426" s="2"/>
      <c r="F426" s="3"/>
    </row>
    <row r="427" spans="1:6" ht="15" customHeight="1" x14ac:dyDescent="0.2">
      <c r="A427" s="9" t="s">
        <v>1661</v>
      </c>
      <c r="B427" s="9" t="s">
        <v>1662</v>
      </c>
      <c r="C427" s="9" t="s">
        <v>862</v>
      </c>
      <c r="D427" s="8"/>
      <c r="E427" s="8"/>
      <c r="F427" s="9"/>
    </row>
    <row r="428" spans="1:6" ht="15" customHeight="1" x14ac:dyDescent="0.2">
      <c r="A428" s="3" t="s">
        <v>1663</v>
      </c>
      <c r="B428" s="3" t="s">
        <v>1498</v>
      </c>
      <c r="C428" s="3" t="s">
        <v>862</v>
      </c>
      <c r="D428" s="2"/>
      <c r="E428" s="2"/>
      <c r="F428" s="3"/>
    </row>
    <row r="429" spans="1:6" ht="15" customHeight="1" x14ac:dyDescent="0.2">
      <c r="A429" s="9" t="s">
        <v>1664</v>
      </c>
      <c r="B429" s="9" t="s">
        <v>1665</v>
      </c>
      <c r="C429" s="9" t="s">
        <v>862</v>
      </c>
      <c r="D429" s="8"/>
      <c r="E429" s="8"/>
      <c r="F429" s="9"/>
    </row>
    <row r="430" spans="1:6" ht="15" customHeight="1" x14ac:dyDescent="0.2">
      <c r="A430" s="3" t="s">
        <v>1666</v>
      </c>
      <c r="B430" s="3" t="s">
        <v>1228</v>
      </c>
      <c r="C430" s="3" t="s">
        <v>862</v>
      </c>
      <c r="D430" s="2"/>
      <c r="E430" s="2"/>
      <c r="F430" s="3"/>
    </row>
    <row r="431" spans="1:6" ht="15" customHeight="1" x14ac:dyDescent="0.2">
      <c r="A431" s="9" t="s">
        <v>1667</v>
      </c>
      <c r="B431" s="9" t="s">
        <v>1668</v>
      </c>
      <c r="C431" s="9" t="s">
        <v>862</v>
      </c>
      <c r="D431" s="8"/>
      <c r="E431" s="8"/>
      <c r="F431" s="9"/>
    </row>
    <row r="432" spans="1:6" ht="15" customHeight="1" x14ac:dyDescent="0.2">
      <c r="A432" s="3" t="s">
        <v>1669</v>
      </c>
      <c r="B432" s="3" t="s">
        <v>1670</v>
      </c>
      <c r="C432" s="3" t="s">
        <v>862</v>
      </c>
      <c r="D432" s="2"/>
      <c r="E432" s="2"/>
      <c r="F432" s="3"/>
    </row>
    <row r="433" spans="1:6" ht="15" customHeight="1" x14ac:dyDescent="0.2">
      <c r="A433" s="9" t="s">
        <v>1671</v>
      </c>
      <c r="B433" s="9" t="s">
        <v>1672</v>
      </c>
      <c r="C433" s="9" t="s">
        <v>862</v>
      </c>
      <c r="D433" s="8"/>
      <c r="E433" s="8"/>
      <c r="F433" s="9"/>
    </row>
    <row r="434" spans="1:6" ht="15" customHeight="1" x14ac:dyDescent="0.2">
      <c r="A434" s="3" t="s">
        <v>1673</v>
      </c>
      <c r="B434" s="3" t="s">
        <v>1674</v>
      </c>
      <c r="C434" s="3" t="s">
        <v>862</v>
      </c>
      <c r="D434" s="2"/>
      <c r="E434" s="2"/>
      <c r="F434" s="3"/>
    </row>
    <row r="435" spans="1:6" ht="15" customHeight="1" x14ac:dyDescent="0.2">
      <c r="A435" s="9" t="s">
        <v>1675</v>
      </c>
      <c r="B435" s="9" t="s">
        <v>1676</v>
      </c>
      <c r="C435" s="9" t="s">
        <v>862</v>
      </c>
      <c r="D435" s="8"/>
      <c r="E435" s="8"/>
      <c r="F435" s="9"/>
    </row>
    <row r="436" spans="1:6" ht="15" customHeight="1" x14ac:dyDescent="0.2">
      <c r="A436" s="3" t="s">
        <v>1677</v>
      </c>
      <c r="B436" s="3" t="s">
        <v>1678</v>
      </c>
      <c r="C436" s="3" t="s">
        <v>862</v>
      </c>
      <c r="D436" s="2"/>
      <c r="E436" s="2"/>
      <c r="F436" s="3"/>
    </row>
    <row r="437" spans="1:6" ht="15" customHeight="1" x14ac:dyDescent="0.2">
      <c r="A437" s="9" t="s">
        <v>1679</v>
      </c>
      <c r="B437" s="9" t="s">
        <v>1680</v>
      </c>
      <c r="C437" s="9" t="s">
        <v>862</v>
      </c>
      <c r="D437" s="8"/>
      <c r="E437" s="8"/>
      <c r="F437" s="9"/>
    </row>
    <row r="438" spans="1:6" ht="15" customHeight="1" x14ac:dyDescent="0.2">
      <c r="A438" s="3" t="s">
        <v>1681</v>
      </c>
      <c r="B438" s="3" t="s">
        <v>1682</v>
      </c>
      <c r="C438" s="3" t="s">
        <v>862</v>
      </c>
      <c r="D438" s="2"/>
      <c r="E438" s="2"/>
      <c r="F438" s="3"/>
    </row>
    <row r="439" spans="1:6" ht="15" customHeight="1" x14ac:dyDescent="0.2">
      <c r="A439" s="9" t="s">
        <v>1683</v>
      </c>
      <c r="B439" s="9" t="s">
        <v>1684</v>
      </c>
      <c r="C439" s="9" t="s">
        <v>862</v>
      </c>
      <c r="D439" s="8"/>
      <c r="E439" s="8"/>
      <c r="F439" s="9"/>
    </row>
    <row r="440" spans="1:6" ht="15" customHeight="1" x14ac:dyDescent="0.2">
      <c r="A440" s="3" t="s">
        <v>1685</v>
      </c>
      <c r="B440" s="3" t="s">
        <v>1373</v>
      </c>
      <c r="C440" s="3" t="s">
        <v>862</v>
      </c>
      <c r="D440" s="2"/>
      <c r="E440" s="2"/>
      <c r="F440" s="3"/>
    </row>
    <row r="441" spans="1:6" ht="15" customHeight="1" x14ac:dyDescent="0.2">
      <c r="A441" s="9" t="s">
        <v>1686</v>
      </c>
      <c r="B441" s="9" t="s">
        <v>1687</v>
      </c>
      <c r="C441" s="9" t="s">
        <v>862</v>
      </c>
      <c r="D441" s="8"/>
      <c r="E441" s="8"/>
      <c r="F441" s="9"/>
    </row>
    <row r="442" spans="1:6" ht="15" customHeight="1" x14ac:dyDescent="0.2">
      <c r="A442" s="3" t="s">
        <v>1688</v>
      </c>
      <c r="B442" s="3" t="s">
        <v>1689</v>
      </c>
      <c r="C442" s="3" t="s">
        <v>862</v>
      </c>
      <c r="D442" s="2"/>
      <c r="E442" s="2"/>
      <c r="F442" s="3"/>
    </row>
    <row r="443" spans="1:6" ht="15" customHeight="1" x14ac:dyDescent="0.2">
      <c r="A443" s="9" t="s">
        <v>1690</v>
      </c>
      <c r="B443" s="9" t="s">
        <v>1691</v>
      </c>
      <c r="C443" s="9" t="s">
        <v>862</v>
      </c>
      <c r="D443" s="8"/>
      <c r="E443" s="8"/>
      <c r="F443" s="9"/>
    </row>
    <row r="444" spans="1:6" ht="15" customHeight="1" x14ac:dyDescent="0.2">
      <c r="A444" s="3" t="s">
        <v>1692</v>
      </c>
      <c r="B444" s="3" t="s">
        <v>1244</v>
      </c>
      <c r="C444" s="3" t="s">
        <v>862</v>
      </c>
      <c r="D444" s="2"/>
      <c r="E444" s="2"/>
      <c r="F444" s="3"/>
    </row>
    <row r="445" spans="1:6" ht="15" customHeight="1" x14ac:dyDescent="0.2">
      <c r="A445" s="9" t="s">
        <v>1693</v>
      </c>
      <c r="B445" s="9" t="s">
        <v>1505</v>
      </c>
      <c r="C445" s="9" t="s">
        <v>862</v>
      </c>
      <c r="D445" s="8"/>
      <c r="E445" s="8"/>
      <c r="F445" s="9"/>
    </row>
    <row r="446" spans="1:6" ht="15" customHeight="1" x14ac:dyDescent="0.2">
      <c r="A446" s="3" t="s">
        <v>1694</v>
      </c>
      <c r="B446" s="3" t="s">
        <v>1695</v>
      </c>
      <c r="C446" s="3" t="s">
        <v>862</v>
      </c>
      <c r="D446" s="2"/>
      <c r="E446" s="2"/>
      <c r="F446" s="3"/>
    </row>
    <row r="447" spans="1:6" ht="15" customHeight="1" x14ac:dyDescent="0.2">
      <c r="A447" s="9" t="s">
        <v>1696</v>
      </c>
      <c r="B447" s="9" t="s">
        <v>1296</v>
      </c>
      <c r="C447" s="9" t="s">
        <v>862</v>
      </c>
      <c r="D447" s="8"/>
      <c r="E447" s="8"/>
      <c r="F447" s="9"/>
    </row>
    <row r="448" spans="1:6" ht="15" customHeight="1" x14ac:dyDescent="0.2">
      <c r="A448" s="3" t="s">
        <v>1697</v>
      </c>
      <c r="B448" s="3" t="s">
        <v>1698</v>
      </c>
      <c r="C448" s="3" t="s">
        <v>862</v>
      </c>
      <c r="D448" s="2"/>
      <c r="E448" s="2"/>
      <c r="F448" s="3"/>
    </row>
    <row r="449" spans="1:6" ht="15" customHeight="1" x14ac:dyDescent="0.2">
      <c r="A449" s="9" t="s">
        <v>1699</v>
      </c>
      <c r="B449" s="9" t="s">
        <v>1246</v>
      </c>
      <c r="C449" s="9" t="s">
        <v>862</v>
      </c>
      <c r="D449" s="8"/>
      <c r="E449" s="8"/>
      <c r="F449" s="9"/>
    </row>
    <row r="450" spans="1:6" ht="15" customHeight="1" x14ac:dyDescent="0.2">
      <c r="A450" s="3" t="s">
        <v>1700</v>
      </c>
      <c r="B450" s="3" t="s">
        <v>1547</v>
      </c>
      <c r="C450" s="3" t="s">
        <v>862</v>
      </c>
      <c r="D450" s="2"/>
      <c r="E450" s="2"/>
      <c r="F450" s="3"/>
    </row>
    <row r="451" spans="1:6" ht="15" customHeight="1" x14ac:dyDescent="0.2">
      <c r="A451" s="9" t="s">
        <v>1701</v>
      </c>
      <c r="B451" s="9" t="s">
        <v>1512</v>
      </c>
      <c r="C451" s="9" t="s">
        <v>862</v>
      </c>
      <c r="D451" s="8"/>
      <c r="E451" s="8"/>
      <c r="F451" s="9"/>
    </row>
    <row r="452" spans="1:6" ht="15" customHeight="1" x14ac:dyDescent="0.2">
      <c r="A452" s="3" t="s">
        <v>1702</v>
      </c>
      <c r="B452" s="3" t="s">
        <v>1532</v>
      </c>
      <c r="C452" s="3" t="s">
        <v>862</v>
      </c>
      <c r="D452" s="2"/>
      <c r="E452" s="2"/>
      <c r="F452" s="3"/>
    </row>
    <row r="453" spans="1:6" ht="15" customHeight="1" x14ac:dyDescent="0.2">
      <c r="A453" s="9" t="s">
        <v>1703</v>
      </c>
      <c r="B453" s="9" t="s">
        <v>1704</v>
      </c>
      <c r="C453" s="9" t="s">
        <v>862</v>
      </c>
      <c r="D453" s="8"/>
      <c r="E453" s="8"/>
      <c r="F453" s="9"/>
    </row>
    <row r="454" spans="1:6" ht="15" customHeight="1" x14ac:dyDescent="0.2">
      <c r="A454" s="3" t="s">
        <v>1705</v>
      </c>
      <c r="B454" s="3" t="s">
        <v>1306</v>
      </c>
      <c r="C454" s="3" t="s">
        <v>862</v>
      </c>
      <c r="D454" s="2"/>
      <c r="E454" s="2"/>
      <c r="F454" s="3"/>
    </row>
    <row r="455" spans="1:6" ht="15" customHeight="1" x14ac:dyDescent="0.2">
      <c r="A455" s="9" t="s">
        <v>1706</v>
      </c>
      <c r="B455" s="9" t="s">
        <v>1707</v>
      </c>
      <c r="C455" s="9" t="s">
        <v>862</v>
      </c>
      <c r="D455" s="8"/>
      <c r="E455" s="8"/>
      <c r="F455" s="9"/>
    </row>
    <row r="456" spans="1:6" ht="15" customHeight="1" x14ac:dyDescent="0.2">
      <c r="A456" s="3" t="s">
        <v>1708</v>
      </c>
      <c r="B456" s="3" t="s">
        <v>1709</v>
      </c>
      <c r="C456" s="3" t="s">
        <v>862</v>
      </c>
      <c r="D456" s="2"/>
      <c r="E456" s="2"/>
      <c r="F456" s="3"/>
    </row>
    <row r="457" spans="1:6" ht="15" customHeight="1" x14ac:dyDescent="0.2">
      <c r="A457" s="9" t="s">
        <v>1710</v>
      </c>
      <c r="B457" s="9" t="s">
        <v>1711</v>
      </c>
      <c r="C457" s="9" t="s">
        <v>862</v>
      </c>
      <c r="D457" s="8"/>
      <c r="E457" s="8"/>
      <c r="F457" s="9"/>
    </row>
    <row r="458" spans="1:6" ht="15" customHeight="1" x14ac:dyDescent="0.2">
      <c r="A458" s="3" t="s">
        <v>1712</v>
      </c>
      <c r="B458" s="3" t="s">
        <v>1258</v>
      </c>
      <c r="C458" s="3" t="s">
        <v>862</v>
      </c>
      <c r="D458" s="2"/>
      <c r="E458" s="2"/>
      <c r="F458" s="3"/>
    </row>
    <row r="459" spans="1:6" ht="15" customHeight="1" x14ac:dyDescent="0.2">
      <c r="A459" s="9" t="s">
        <v>1713</v>
      </c>
      <c r="B459" s="9" t="s">
        <v>1234</v>
      </c>
      <c r="C459" s="9" t="s">
        <v>862</v>
      </c>
      <c r="D459" s="8"/>
      <c r="E459" s="8"/>
      <c r="F459" s="9"/>
    </row>
    <row r="460" spans="1:6" ht="15" customHeight="1" x14ac:dyDescent="0.2">
      <c r="A460" s="3" t="s">
        <v>1714</v>
      </c>
      <c r="B460" s="3" t="s">
        <v>1715</v>
      </c>
      <c r="C460" s="3" t="s">
        <v>862</v>
      </c>
      <c r="D460" s="2"/>
      <c r="E460" s="2"/>
      <c r="F460" s="3"/>
    </row>
    <row r="461" spans="1:6" ht="15" customHeight="1" x14ac:dyDescent="0.2">
      <c r="A461" s="9" t="s">
        <v>1716</v>
      </c>
      <c r="B461" s="9" t="s">
        <v>1717</v>
      </c>
      <c r="C461" s="9" t="s">
        <v>862</v>
      </c>
      <c r="D461" s="8"/>
      <c r="E461" s="8"/>
      <c r="F461" s="9"/>
    </row>
    <row r="462" spans="1:6" ht="15" customHeight="1" x14ac:dyDescent="0.2">
      <c r="A462" s="3" t="s">
        <v>1718</v>
      </c>
      <c r="B462" s="3" t="s">
        <v>1704</v>
      </c>
      <c r="C462" s="3" t="s">
        <v>862</v>
      </c>
      <c r="D462" s="2"/>
      <c r="E462" s="2"/>
      <c r="F462" s="3"/>
    </row>
    <row r="463" spans="1:6" ht="15" customHeight="1" x14ac:dyDescent="0.2">
      <c r="A463" s="9" t="s">
        <v>1719</v>
      </c>
      <c r="B463" s="9" t="s">
        <v>1720</v>
      </c>
      <c r="C463" s="9" t="s">
        <v>862</v>
      </c>
      <c r="D463" s="8"/>
      <c r="E463" s="8"/>
      <c r="F463" s="9"/>
    </row>
    <row r="464" spans="1:6" ht="15" customHeight="1" x14ac:dyDescent="0.2">
      <c r="A464" s="3" t="s">
        <v>1721</v>
      </c>
      <c r="B464" s="3" t="s">
        <v>1722</v>
      </c>
      <c r="C464" s="3" t="s">
        <v>862</v>
      </c>
      <c r="D464" s="2"/>
      <c r="E464" s="2"/>
      <c r="F464" s="3"/>
    </row>
    <row r="465" spans="1:6" ht="15" customHeight="1" x14ac:dyDescent="0.2">
      <c r="A465" s="9" t="s">
        <v>1723</v>
      </c>
      <c r="B465" s="9" t="s">
        <v>1724</v>
      </c>
      <c r="C465" s="9" t="s">
        <v>862</v>
      </c>
      <c r="D465" s="8"/>
      <c r="E465" s="8"/>
      <c r="F465" s="9"/>
    </row>
    <row r="466" spans="1:6" ht="15" customHeight="1" x14ac:dyDescent="0.2">
      <c r="A466" s="3" t="s">
        <v>1725</v>
      </c>
      <c r="B466" s="3" t="s">
        <v>1726</v>
      </c>
      <c r="C466" s="3" t="s">
        <v>862</v>
      </c>
      <c r="D466" s="2"/>
      <c r="E466" s="2"/>
      <c r="F466" s="3"/>
    </row>
    <row r="467" spans="1:6" ht="15" customHeight="1" x14ac:dyDescent="0.2">
      <c r="A467" s="9" t="s">
        <v>1727</v>
      </c>
      <c r="B467" s="9" t="s">
        <v>1684</v>
      </c>
      <c r="C467" s="9" t="s">
        <v>862</v>
      </c>
      <c r="D467" s="8"/>
      <c r="E467" s="8"/>
      <c r="F467" s="9"/>
    </row>
    <row r="468" spans="1:6" ht="15" customHeight="1" x14ac:dyDescent="0.2">
      <c r="A468" s="3" t="s">
        <v>1728</v>
      </c>
      <c r="B468" s="3" t="s">
        <v>1672</v>
      </c>
      <c r="C468" s="3" t="s">
        <v>862</v>
      </c>
      <c r="D468" s="2"/>
      <c r="E468" s="2"/>
      <c r="F468" s="3"/>
    </row>
    <row r="469" spans="1:6" ht="15" customHeight="1" x14ac:dyDescent="0.2">
      <c r="A469" s="9" t="s">
        <v>1729</v>
      </c>
      <c r="B469" s="9" t="s">
        <v>1730</v>
      </c>
      <c r="C469" s="9" t="s">
        <v>862</v>
      </c>
      <c r="D469" s="8"/>
      <c r="E469" s="8"/>
      <c r="F469" s="9"/>
    </row>
    <row r="470" spans="1:6" ht="15" customHeight="1" x14ac:dyDescent="0.2">
      <c r="A470" s="3" t="s">
        <v>1731</v>
      </c>
      <c r="B470" s="3" t="s">
        <v>1732</v>
      </c>
      <c r="C470" s="3" t="s">
        <v>862</v>
      </c>
      <c r="D470" s="2"/>
      <c r="E470" s="2"/>
      <c r="F470" s="3"/>
    </row>
    <row r="471" spans="1:6" ht="15" customHeight="1" x14ac:dyDescent="0.2">
      <c r="A471" s="9" t="s">
        <v>1733</v>
      </c>
      <c r="B471" s="9" t="s">
        <v>1734</v>
      </c>
      <c r="C471" s="9" t="s">
        <v>862</v>
      </c>
      <c r="D471" s="8"/>
      <c r="E471" s="8"/>
      <c r="F471" s="9"/>
    </row>
    <row r="472" spans="1:6" ht="15" customHeight="1" x14ac:dyDescent="0.2">
      <c r="A472" s="3" t="s">
        <v>1735</v>
      </c>
      <c r="B472" s="3" t="s">
        <v>1736</v>
      </c>
      <c r="C472" s="3" t="s">
        <v>862</v>
      </c>
      <c r="D472" s="2"/>
      <c r="E472" s="2"/>
      <c r="F472" s="3"/>
    </row>
    <row r="473" spans="1:6" ht="15" customHeight="1" x14ac:dyDescent="0.2">
      <c r="A473" s="9" t="s">
        <v>1737</v>
      </c>
      <c r="B473" s="9" t="s">
        <v>1738</v>
      </c>
      <c r="C473" s="9" t="s">
        <v>862</v>
      </c>
      <c r="D473" s="8"/>
      <c r="E473" s="8"/>
      <c r="F473" s="9"/>
    </row>
    <row r="474" spans="1:6" ht="15" customHeight="1" x14ac:dyDescent="0.2">
      <c r="A474" s="3" t="s">
        <v>1739</v>
      </c>
      <c r="B474" s="3" t="s">
        <v>1740</v>
      </c>
      <c r="C474" s="3" t="s">
        <v>862</v>
      </c>
      <c r="D474" s="2"/>
      <c r="E474" s="2"/>
      <c r="F474" s="3"/>
    </row>
    <row r="475" spans="1:6" ht="15" customHeight="1" x14ac:dyDescent="0.2">
      <c r="A475" s="9" t="s">
        <v>1741</v>
      </c>
      <c r="B475" s="9" t="s">
        <v>1742</v>
      </c>
      <c r="C475" s="9" t="s">
        <v>862</v>
      </c>
      <c r="D475" s="8"/>
      <c r="E475" s="8"/>
      <c r="F475" s="9"/>
    </row>
    <row r="476" spans="1:6" ht="15" customHeight="1" x14ac:dyDescent="0.2">
      <c r="A476" s="3" t="s">
        <v>1743</v>
      </c>
      <c r="B476" s="3" t="s">
        <v>1680</v>
      </c>
      <c r="C476" s="3" t="s">
        <v>862</v>
      </c>
      <c r="D476" s="2"/>
      <c r="E476" s="2"/>
      <c r="F476" s="3"/>
    </row>
    <row r="477" spans="1:6" ht="15" customHeight="1" x14ac:dyDescent="0.2">
      <c r="A477" s="9" t="s">
        <v>1744</v>
      </c>
      <c r="B477" s="9" t="s">
        <v>1745</v>
      </c>
      <c r="C477" s="9" t="s">
        <v>862</v>
      </c>
      <c r="D477" s="8"/>
      <c r="E477" s="8"/>
      <c r="F477" s="9"/>
    </row>
    <row r="478" spans="1:6" ht="15" customHeight="1" x14ac:dyDescent="0.2">
      <c r="A478" s="3" t="s">
        <v>1746</v>
      </c>
      <c r="B478" s="3" t="s">
        <v>1747</v>
      </c>
      <c r="C478" s="3" t="s">
        <v>862</v>
      </c>
      <c r="D478" s="2"/>
      <c r="E478" s="2"/>
      <c r="F478" s="3"/>
    </row>
    <row r="479" spans="1:6" ht="15" customHeight="1" x14ac:dyDescent="0.2">
      <c r="A479" s="9" t="s">
        <v>1748</v>
      </c>
      <c r="B479" s="9" t="s">
        <v>1749</v>
      </c>
      <c r="C479" s="9" t="s">
        <v>862</v>
      </c>
      <c r="D479" s="8"/>
      <c r="E479" s="8"/>
      <c r="F479" s="9"/>
    </row>
    <row r="480" spans="1:6" ht="15" customHeight="1" x14ac:dyDescent="0.2">
      <c r="A480" s="3" t="s">
        <v>1750</v>
      </c>
      <c r="B480" s="3" t="s">
        <v>1751</v>
      </c>
      <c r="C480" s="3" t="s">
        <v>862</v>
      </c>
      <c r="D480" s="2"/>
      <c r="E480" s="2"/>
      <c r="F480" s="3"/>
    </row>
    <row r="481" spans="1:6" ht="15" customHeight="1" x14ac:dyDescent="0.2">
      <c r="A481" s="9" t="s">
        <v>1752</v>
      </c>
      <c r="B481" s="9" t="s">
        <v>1240</v>
      </c>
      <c r="C481" s="9" t="s">
        <v>862</v>
      </c>
      <c r="D481" s="8"/>
      <c r="E481" s="8"/>
      <c r="F481" s="9"/>
    </row>
    <row r="482" spans="1:6" ht="15" customHeight="1" x14ac:dyDescent="0.2">
      <c r="A482" s="3" t="s">
        <v>1753</v>
      </c>
      <c r="B482" s="3" t="s">
        <v>1754</v>
      </c>
      <c r="C482" s="3" t="s">
        <v>862</v>
      </c>
      <c r="D482" s="2"/>
      <c r="E482" s="2"/>
      <c r="F482" s="3"/>
    </row>
    <row r="483" spans="1:6" ht="15" customHeight="1" x14ac:dyDescent="0.2">
      <c r="A483" s="9" t="s">
        <v>1755</v>
      </c>
      <c r="B483" s="9" t="s">
        <v>1756</v>
      </c>
      <c r="C483" s="9" t="s">
        <v>862</v>
      </c>
      <c r="D483" s="8"/>
      <c r="E483" s="8"/>
      <c r="F483" s="9"/>
    </row>
    <row r="484" spans="1:6" ht="15" customHeight="1" x14ac:dyDescent="0.2">
      <c r="A484" s="3" t="s">
        <v>1757</v>
      </c>
      <c r="B484" s="3" t="s">
        <v>1758</v>
      </c>
      <c r="C484" s="3" t="s">
        <v>862</v>
      </c>
      <c r="D484" s="2"/>
      <c r="E484" s="2"/>
      <c r="F484" s="3"/>
    </row>
    <row r="485" spans="1:6" ht="15" customHeight="1" x14ac:dyDescent="0.2">
      <c r="A485" s="9" t="s">
        <v>1759</v>
      </c>
      <c r="B485" s="9" t="s">
        <v>1760</v>
      </c>
      <c r="C485" s="9" t="s">
        <v>862</v>
      </c>
      <c r="D485" s="8"/>
      <c r="E485" s="8"/>
      <c r="F485" s="9"/>
    </row>
    <row r="486" spans="1:6" ht="15" customHeight="1" x14ac:dyDescent="0.2">
      <c r="A486" s="3" t="s">
        <v>1761</v>
      </c>
      <c r="B486" s="3" t="s">
        <v>1762</v>
      </c>
      <c r="C486" s="3" t="s">
        <v>862</v>
      </c>
      <c r="D486" s="2"/>
      <c r="E486" s="2"/>
      <c r="F486" s="3"/>
    </row>
    <row r="487" spans="1:6" ht="15" customHeight="1" x14ac:dyDescent="0.2">
      <c r="A487" s="9" t="s">
        <v>1763</v>
      </c>
      <c r="B487" s="9" t="s">
        <v>1764</v>
      </c>
      <c r="C487" s="9" t="s">
        <v>862</v>
      </c>
      <c r="D487" s="8"/>
      <c r="E487" s="8"/>
      <c r="F487" s="9"/>
    </row>
    <row r="488" spans="1:6" ht="15" customHeight="1" x14ac:dyDescent="0.2">
      <c r="A488" s="3" t="s">
        <v>1765</v>
      </c>
      <c r="B488" s="3" t="s">
        <v>1766</v>
      </c>
      <c r="C488" s="3" t="s">
        <v>862</v>
      </c>
      <c r="D488" s="2"/>
      <c r="E488" s="2"/>
      <c r="F488" s="3"/>
    </row>
    <row r="489" spans="1:6" ht="15" customHeight="1" x14ac:dyDescent="0.2">
      <c r="A489" s="9" t="s">
        <v>1767</v>
      </c>
      <c r="B489" s="9" t="s">
        <v>1768</v>
      </c>
      <c r="C489" s="9" t="s">
        <v>862</v>
      </c>
      <c r="D489" s="8"/>
      <c r="E489" s="8"/>
      <c r="F489" s="9"/>
    </row>
    <row r="490" spans="1:6" ht="15" customHeight="1" x14ac:dyDescent="0.2">
      <c r="A490" s="3" t="s">
        <v>1769</v>
      </c>
      <c r="B490" s="3" t="s">
        <v>1770</v>
      </c>
      <c r="C490" s="3" t="s">
        <v>862</v>
      </c>
      <c r="D490" s="2"/>
      <c r="E490" s="2"/>
      <c r="F490" s="3"/>
    </row>
    <row r="491" spans="1:6" ht="15" customHeight="1" x14ac:dyDescent="0.2">
      <c r="A491" s="9" t="s">
        <v>1771</v>
      </c>
      <c r="B491" s="9" t="s">
        <v>1266</v>
      </c>
      <c r="C491" s="9" t="s">
        <v>862</v>
      </c>
      <c r="D491" s="8"/>
      <c r="E491" s="8"/>
      <c r="F491" s="9"/>
    </row>
    <row r="492" spans="1:6" ht="15" customHeight="1" x14ac:dyDescent="0.2">
      <c r="A492" s="3" t="s">
        <v>1772</v>
      </c>
      <c r="B492" s="3" t="s">
        <v>1234</v>
      </c>
      <c r="C492" s="3" t="s">
        <v>862</v>
      </c>
      <c r="D492" s="2"/>
      <c r="E492" s="2"/>
      <c r="F492" s="3"/>
    </row>
    <row r="493" spans="1:6" ht="15" customHeight="1" x14ac:dyDescent="0.2">
      <c r="A493" s="9" t="s">
        <v>1773</v>
      </c>
      <c r="B493" s="9" t="s">
        <v>1774</v>
      </c>
      <c r="C493" s="9" t="s">
        <v>862</v>
      </c>
      <c r="D493" s="8"/>
      <c r="E493" s="8"/>
      <c r="F493" s="9"/>
    </row>
    <row r="494" spans="1:6" ht="15" customHeight="1" x14ac:dyDescent="0.2">
      <c r="A494" s="3" t="s">
        <v>1775</v>
      </c>
      <c r="B494" s="3" t="s">
        <v>1776</v>
      </c>
      <c r="C494" s="3" t="s">
        <v>862</v>
      </c>
      <c r="D494" s="2"/>
      <c r="E494" s="2"/>
      <c r="F494" s="3"/>
    </row>
    <row r="495" spans="1:6" ht="15" customHeight="1" x14ac:dyDescent="0.2">
      <c r="A495" s="9" t="s">
        <v>1777</v>
      </c>
      <c r="B495" s="9" t="s">
        <v>1244</v>
      </c>
      <c r="C495" s="9" t="s">
        <v>862</v>
      </c>
      <c r="D495" s="8"/>
      <c r="E495" s="8"/>
      <c r="F495" s="9"/>
    </row>
    <row r="496" spans="1:6" ht="15" customHeight="1" x14ac:dyDescent="0.2">
      <c r="A496" s="3" t="s">
        <v>1778</v>
      </c>
      <c r="B496" s="3" t="s">
        <v>1779</v>
      </c>
      <c r="C496" s="3" t="s">
        <v>862</v>
      </c>
      <c r="D496" s="2"/>
      <c r="E496" s="2"/>
      <c r="F496" s="3"/>
    </row>
    <row r="497" spans="1:6" ht="15" customHeight="1" x14ac:dyDescent="0.2">
      <c r="A497" s="9" t="s">
        <v>1780</v>
      </c>
      <c r="B497" s="9" t="s">
        <v>1781</v>
      </c>
      <c r="C497" s="9" t="s">
        <v>862</v>
      </c>
      <c r="D497" s="8"/>
      <c r="E497" s="8"/>
      <c r="F497" s="9"/>
    </row>
    <row r="498" spans="1:6" ht="15" customHeight="1" x14ac:dyDescent="0.2">
      <c r="A498" s="3" t="s">
        <v>1782</v>
      </c>
      <c r="B498" s="3" t="s">
        <v>1783</v>
      </c>
      <c r="C498" s="3" t="s">
        <v>862</v>
      </c>
      <c r="D498" s="2"/>
      <c r="E498" s="2"/>
      <c r="F498" s="3"/>
    </row>
    <row r="499" spans="1:6" ht="15" customHeight="1" x14ac:dyDescent="0.2">
      <c r="A499" s="9" t="s">
        <v>1784</v>
      </c>
      <c r="B499" s="9" t="s">
        <v>1785</v>
      </c>
      <c r="C499" s="9" t="s">
        <v>862</v>
      </c>
      <c r="D499" s="8"/>
      <c r="E499" s="8"/>
      <c r="F499" s="9"/>
    </row>
    <row r="500" spans="1:6" ht="15" customHeight="1" x14ac:dyDescent="0.2">
      <c r="A500" s="3" t="s">
        <v>1786</v>
      </c>
      <c r="B500" s="3" t="s">
        <v>1787</v>
      </c>
      <c r="C500" s="3" t="s">
        <v>862</v>
      </c>
      <c r="D500" s="2"/>
      <c r="E500" s="2"/>
      <c r="F500" s="3"/>
    </row>
    <row r="501" spans="1:6" ht="15" customHeight="1" x14ac:dyDescent="0.2">
      <c r="A501" s="9" t="s">
        <v>1788</v>
      </c>
      <c r="B501" s="9" t="s">
        <v>1319</v>
      </c>
      <c r="C501" s="9" t="s">
        <v>862</v>
      </c>
      <c r="D501" s="8"/>
      <c r="E501" s="8"/>
      <c r="F501" s="9"/>
    </row>
    <row r="502" spans="1:6" ht="15" customHeight="1" x14ac:dyDescent="0.2">
      <c r="A502" s="3" t="s">
        <v>1789</v>
      </c>
      <c r="B502" s="3" t="s">
        <v>1790</v>
      </c>
      <c r="C502" s="3" t="s">
        <v>862</v>
      </c>
      <c r="D502" s="2"/>
      <c r="E502" s="2"/>
      <c r="F502" s="3"/>
    </row>
    <row r="503" spans="1:6" ht="15" customHeight="1" x14ac:dyDescent="0.2">
      <c r="A503" s="9" t="s">
        <v>1791</v>
      </c>
      <c r="B503" s="9" t="s">
        <v>1792</v>
      </c>
      <c r="C503" s="9" t="s">
        <v>862</v>
      </c>
      <c r="D503" s="8"/>
      <c r="E503" s="8"/>
      <c r="F503" s="9"/>
    </row>
    <row r="504" spans="1:6" ht="15" customHeight="1" x14ac:dyDescent="0.2">
      <c r="A504" s="3" t="s">
        <v>1793</v>
      </c>
      <c r="B504" s="3" t="s">
        <v>1646</v>
      </c>
      <c r="C504" s="3" t="s">
        <v>862</v>
      </c>
      <c r="D504" s="2"/>
      <c r="E504" s="2"/>
      <c r="F504" s="3"/>
    </row>
    <row r="505" spans="1:6" ht="15" customHeight="1" x14ac:dyDescent="0.2">
      <c r="A505" s="9" t="s">
        <v>1794</v>
      </c>
      <c r="B505" s="9" t="s">
        <v>1280</v>
      </c>
      <c r="C505" s="9" t="s">
        <v>862</v>
      </c>
      <c r="D505" s="8"/>
      <c r="E505" s="8"/>
      <c r="F505" s="9"/>
    </row>
    <row r="506" spans="1:6" ht="15" customHeight="1" x14ac:dyDescent="0.2">
      <c r="A506" s="3" t="s">
        <v>1795</v>
      </c>
      <c r="B506" s="3" t="s">
        <v>1512</v>
      </c>
      <c r="C506" s="3" t="s">
        <v>862</v>
      </c>
      <c r="D506" s="2"/>
      <c r="E506" s="2"/>
      <c r="F506" s="3"/>
    </row>
    <row r="507" spans="1:6" ht="15" customHeight="1" x14ac:dyDescent="0.2">
      <c r="A507" s="9" t="s">
        <v>1796</v>
      </c>
      <c r="B507" s="9" t="s">
        <v>1252</v>
      </c>
      <c r="C507" s="9" t="s">
        <v>862</v>
      </c>
      <c r="D507" s="8"/>
      <c r="E507" s="8"/>
      <c r="F507" s="9"/>
    </row>
    <row r="508" spans="1:6" ht="15" customHeight="1" x14ac:dyDescent="0.2">
      <c r="A508" s="3" t="s">
        <v>1797</v>
      </c>
      <c r="B508" s="3" t="s">
        <v>1798</v>
      </c>
      <c r="C508" s="3" t="s">
        <v>862</v>
      </c>
      <c r="D508" s="2"/>
      <c r="E508" s="2"/>
      <c r="F508" s="3"/>
    </row>
    <row r="509" spans="1:6" ht="15" customHeight="1" x14ac:dyDescent="0.2">
      <c r="A509" s="9" t="s">
        <v>1799</v>
      </c>
      <c r="B509" s="9" t="s">
        <v>1352</v>
      </c>
      <c r="C509" s="9" t="s">
        <v>862</v>
      </c>
      <c r="D509" s="8"/>
      <c r="E509" s="8"/>
      <c r="F509" s="9"/>
    </row>
    <row r="510" spans="1:6" ht="15" customHeight="1" x14ac:dyDescent="0.2">
      <c r="A510" s="3" t="s">
        <v>1800</v>
      </c>
      <c r="B510" s="3" t="s">
        <v>1801</v>
      </c>
      <c r="C510" s="3" t="s">
        <v>862</v>
      </c>
      <c r="D510" s="2"/>
      <c r="E510" s="2"/>
      <c r="F510" s="3"/>
    </row>
    <row r="511" spans="1:6" ht="15" customHeight="1" x14ac:dyDescent="0.2">
      <c r="A511" s="9" t="s">
        <v>1802</v>
      </c>
      <c r="B511" s="9" t="s">
        <v>1246</v>
      </c>
      <c r="C511" s="9" t="s">
        <v>862</v>
      </c>
      <c r="D511" s="8"/>
      <c r="E511" s="8"/>
      <c r="F511" s="9"/>
    </row>
    <row r="512" spans="1:6" ht="15" customHeight="1" x14ac:dyDescent="0.2">
      <c r="A512" s="3" t="s">
        <v>1803</v>
      </c>
      <c r="B512" s="3" t="s">
        <v>1280</v>
      </c>
      <c r="C512" s="3" t="s">
        <v>862</v>
      </c>
      <c r="D512" s="2"/>
      <c r="E512" s="2"/>
      <c r="F512" s="3"/>
    </row>
    <row r="513" spans="1:6" ht="15" customHeight="1" x14ac:dyDescent="0.2">
      <c r="A513" s="9" t="s">
        <v>1804</v>
      </c>
      <c r="B513" s="9" t="s">
        <v>1805</v>
      </c>
      <c r="C513" s="9" t="s">
        <v>862</v>
      </c>
      <c r="D513" s="8"/>
      <c r="E513" s="8"/>
      <c r="F513" s="9"/>
    </row>
    <row r="514" spans="1:6" ht="15" customHeight="1" x14ac:dyDescent="0.2">
      <c r="A514" s="3" t="s">
        <v>1806</v>
      </c>
      <c r="B514" s="3" t="s">
        <v>1325</v>
      </c>
      <c r="C514" s="3" t="s">
        <v>862</v>
      </c>
      <c r="D514" s="2"/>
      <c r="E514" s="2"/>
      <c r="F514" s="3"/>
    </row>
    <row r="515" spans="1:6" ht="15" customHeight="1" x14ac:dyDescent="0.2">
      <c r="A515" s="9" t="s">
        <v>1807</v>
      </c>
      <c r="B515" s="9" t="s">
        <v>1325</v>
      </c>
      <c r="C515" s="9" t="s">
        <v>862</v>
      </c>
      <c r="D515" s="8"/>
      <c r="E515" s="8"/>
      <c r="F515" s="9"/>
    </row>
    <row r="516" spans="1:6" ht="15" customHeight="1" x14ac:dyDescent="0.2">
      <c r="A516" s="3" t="s">
        <v>1808</v>
      </c>
      <c r="B516" s="3" t="s">
        <v>1809</v>
      </c>
      <c r="C516" s="3" t="s">
        <v>862</v>
      </c>
      <c r="D516" s="2"/>
      <c r="E516" s="2"/>
      <c r="F516" s="3"/>
    </row>
    <row r="517" spans="1:6" ht="15" customHeight="1" x14ac:dyDescent="0.2">
      <c r="A517" s="9" t="s">
        <v>1810</v>
      </c>
      <c r="B517" s="9" t="s">
        <v>1811</v>
      </c>
      <c r="C517" s="9" t="s">
        <v>862</v>
      </c>
      <c r="D517" s="8"/>
      <c r="E517" s="8"/>
      <c r="F517" s="9"/>
    </row>
    <row r="518" spans="1:6" ht="15" customHeight="1" x14ac:dyDescent="0.2">
      <c r="A518" s="3" t="s">
        <v>1812</v>
      </c>
      <c r="B518" s="3" t="s">
        <v>1813</v>
      </c>
      <c r="C518" s="3" t="s">
        <v>862</v>
      </c>
      <c r="D518" s="2"/>
      <c r="E518" s="2"/>
      <c r="F518" s="3"/>
    </row>
    <row r="519" spans="1:6" ht="15" customHeight="1" x14ac:dyDescent="0.2">
      <c r="A519" s="9" t="s">
        <v>1814</v>
      </c>
      <c r="B519" s="9" t="s">
        <v>1815</v>
      </c>
      <c r="C519" s="9" t="s">
        <v>862</v>
      </c>
      <c r="D519" s="8"/>
      <c r="E519" s="8"/>
      <c r="F519" s="9"/>
    </row>
    <row r="520" spans="1:6" ht="15" customHeight="1" x14ac:dyDescent="0.2">
      <c r="A520" s="3" t="s">
        <v>1816</v>
      </c>
      <c r="B520" s="3" t="s">
        <v>1817</v>
      </c>
      <c r="C520" s="3" t="s">
        <v>862</v>
      </c>
      <c r="D520" s="2"/>
      <c r="E520" s="2"/>
      <c r="F520" s="3"/>
    </row>
    <row r="521" spans="1:6" ht="15" customHeight="1" x14ac:dyDescent="0.2">
      <c r="A521" s="9" t="s">
        <v>1818</v>
      </c>
      <c r="B521" s="9" t="s">
        <v>1819</v>
      </c>
      <c r="C521" s="9" t="s">
        <v>862</v>
      </c>
      <c r="D521" s="8"/>
      <c r="E521" s="8"/>
      <c r="F521" s="9"/>
    </row>
    <row r="522" spans="1:6" ht="15" customHeight="1" x14ac:dyDescent="0.2">
      <c r="A522" s="3" t="s">
        <v>1820</v>
      </c>
      <c r="B522" s="3" t="s">
        <v>1821</v>
      </c>
      <c r="C522" s="3" t="s">
        <v>862</v>
      </c>
      <c r="D522" s="2"/>
      <c r="E522" s="2"/>
      <c r="F522" s="3"/>
    </row>
    <row r="523" spans="1:6" ht="15" customHeight="1" x14ac:dyDescent="0.2">
      <c r="A523" s="9" t="s">
        <v>1822</v>
      </c>
      <c r="B523" s="9" t="s">
        <v>1823</v>
      </c>
      <c r="C523" s="9" t="s">
        <v>862</v>
      </c>
      <c r="D523" s="8"/>
      <c r="E523" s="8"/>
      <c r="F523" s="9"/>
    </row>
    <row r="524" spans="1:6" ht="15" customHeight="1" x14ac:dyDescent="0.2">
      <c r="A524" s="3" t="s">
        <v>1824</v>
      </c>
      <c r="B524" s="3" t="s">
        <v>1582</v>
      </c>
      <c r="C524" s="3" t="s">
        <v>862</v>
      </c>
      <c r="D524" s="2"/>
      <c r="E524" s="2"/>
      <c r="F524" s="3"/>
    </row>
    <row r="525" spans="1:6" ht="15" customHeight="1" x14ac:dyDescent="0.2">
      <c r="A525" s="9" t="s">
        <v>1825</v>
      </c>
      <c r="B525" s="9" t="s">
        <v>1826</v>
      </c>
      <c r="C525" s="9" t="s">
        <v>862</v>
      </c>
      <c r="D525" s="8"/>
      <c r="E525" s="8"/>
      <c r="F525" s="9"/>
    </row>
    <row r="526" spans="1:6" ht="15" customHeight="1" x14ac:dyDescent="0.2">
      <c r="A526" s="3" t="s">
        <v>1827</v>
      </c>
      <c r="B526" s="3" t="s">
        <v>1828</v>
      </c>
      <c r="C526" s="3" t="s">
        <v>862</v>
      </c>
      <c r="D526" s="2"/>
      <c r="E526" s="2"/>
      <c r="F526" s="3"/>
    </row>
    <row r="527" spans="1:6" ht="15" customHeight="1" x14ac:dyDescent="0.2">
      <c r="A527" s="9" t="s">
        <v>1829</v>
      </c>
      <c r="B527" s="9" t="s">
        <v>1232</v>
      </c>
      <c r="C527" s="9" t="s">
        <v>862</v>
      </c>
      <c r="D527" s="8"/>
      <c r="E527" s="8"/>
      <c r="F527" s="9"/>
    </row>
    <row r="528" spans="1:6" ht="15" customHeight="1" x14ac:dyDescent="0.2">
      <c r="A528" s="3" t="s">
        <v>1830</v>
      </c>
      <c r="B528" s="3" t="s">
        <v>1284</v>
      </c>
      <c r="C528" s="3" t="s">
        <v>862</v>
      </c>
      <c r="D528" s="2"/>
      <c r="E528" s="2"/>
      <c r="F528" s="3"/>
    </row>
    <row r="529" spans="1:6" ht="15" customHeight="1" x14ac:dyDescent="0.2">
      <c r="A529" s="9" t="s">
        <v>1831</v>
      </c>
      <c r="B529" s="9" t="s">
        <v>1832</v>
      </c>
      <c r="C529" s="9" t="s">
        <v>862</v>
      </c>
      <c r="D529" s="8"/>
      <c r="E529" s="8"/>
      <c r="F529" s="9"/>
    </row>
    <row r="530" spans="1:6" ht="15" customHeight="1" x14ac:dyDescent="0.2">
      <c r="A530" s="3" t="s">
        <v>1833</v>
      </c>
      <c r="B530" s="3" t="s">
        <v>1834</v>
      </c>
      <c r="C530" s="3" t="s">
        <v>862</v>
      </c>
      <c r="D530" s="2"/>
      <c r="E530" s="2"/>
      <c r="F530" s="3"/>
    </row>
    <row r="531" spans="1:6" ht="15" customHeight="1" x14ac:dyDescent="0.2">
      <c r="A531" s="9" t="s">
        <v>1835</v>
      </c>
      <c r="B531" s="9" t="s">
        <v>1836</v>
      </c>
      <c r="C531" s="9" t="s">
        <v>862</v>
      </c>
      <c r="D531" s="8"/>
      <c r="E531" s="8"/>
      <c r="F531" s="9"/>
    </row>
    <row r="532" spans="1:6" ht="15" customHeight="1" x14ac:dyDescent="0.2">
      <c r="A532" s="3" t="s">
        <v>1837</v>
      </c>
      <c r="B532" s="3" t="s">
        <v>1838</v>
      </c>
      <c r="C532" s="3" t="s">
        <v>862</v>
      </c>
      <c r="D532" s="2"/>
      <c r="E532" s="2"/>
      <c r="F532" s="3"/>
    </row>
    <row r="533" spans="1:6" ht="15" customHeight="1" x14ac:dyDescent="0.2">
      <c r="A533" s="9" t="s">
        <v>1839</v>
      </c>
      <c r="B533" s="9" t="s">
        <v>1840</v>
      </c>
      <c r="C533" s="9" t="s">
        <v>862</v>
      </c>
      <c r="D533" s="8"/>
      <c r="E533" s="8"/>
      <c r="F533" s="9"/>
    </row>
    <row r="534" spans="1:6" ht="15" customHeight="1" x14ac:dyDescent="0.2">
      <c r="A534" s="3" t="s">
        <v>1841</v>
      </c>
      <c r="B534" s="3" t="s">
        <v>1842</v>
      </c>
      <c r="C534" s="3" t="s">
        <v>862</v>
      </c>
      <c r="D534" s="2"/>
      <c r="E534" s="2"/>
      <c r="F534" s="3"/>
    </row>
    <row r="535" spans="1:6" ht="15" customHeight="1" x14ac:dyDescent="0.2">
      <c r="A535" s="9" t="s">
        <v>1843</v>
      </c>
      <c r="B535" s="9" t="s">
        <v>1844</v>
      </c>
      <c r="C535" s="9" t="s">
        <v>862</v>
      </c>
      <c r="D535" s="8"/>
      <c r="E535" s="8"/>
      <c r="F535" s="9"/>
    </row>
    <row r="536" spans="1:6" ht="15" customHeight="1" x14ac:dyDescent="0.2">
      <c r="A536" s="3" t="s">
        <v>1845</v>
      </c>
      <c r="B536" s="3" t="s">
        <v>1798</v>
      </c>
      <c r="C536" s="3" t="s">
        <v>862</v>
      </c>
      <c r="D536" s="2"/>
      <c r="E536" s="2"/>
      <c r="F536" s="3"/>
    </row>
    <row r="537" spans="1:6" ht="15" customHeight="1" x14ac:dyDescent="0.2">
      <c r="A537" s="9" t="s">
        <v>1846</v>
      </c>
      <c r="B537" s="9" t="s">
        <v>1847</v>
      </c>
      <c r="C537" s="9" t="s">
        <v>862</v>
      </c>
      <c r="D537" s="8"/>
      <c r="E537" s="8"/>
      <c r="F537" s="9"/>
    </row>
    <row r="538" spans="1:6" ht="15" customHeight="1" x14ac:dyDescent="0.2">
      <c r="A538" s="3" t="s">
        <v>1848</v>
      </c>
      <c r="B538" s="3" t="s">
        <v>1563</v>
      </c>
      <c r="C538" s="3" t="s">
        <v>862</v>
      </c>
      <c r="D538" s="2"/>
      <c r="E538" s="2"/>
      <c r="F538" s="3"/>
    </row>
    <row r="539" spans="1:6" ht="15" customHeight="1" x14ac:dyDescent="0.2">
      <c r="A539" s="9" t="s">
        <v>1849</v>
      </c>
      <c r="B539" s="9" t="s">
        <v>1294</v>
      </c>
      <c r="C539" s="9" t="s">
        <v>862</v>
      </c>
      <c r="D539" s="8"/>
      <c r="E539" s="8"/>
      <c r="F539" s="9"/>
    </row>
    <row r="540" spans="1:6" ht="15" customHeight="1" x14ac:dyDescent="0.2">
      <c r="A540" s="3" t="s">
        <v>1850</v>
      </c>
      <c r="B540" s="3" t="s">
        <v>1811</v>
      </c>
      <c r="C540" s="3" t="s">
        <v>862</v>
      </c>
      <c r="D540" s="2"/>
      <c r="E540" s="2"/>
      <c r="F540" s="3"/>
    </row>
    <row r="541" spans="1:6" ht="15" customHeight="1" x14ac:dyDescent="0.2">
      <c r="A541" s="9" t="s">
        <v>1851</v>
      </c>
      <c r="B541" s="9" t="s">
        <v>1292</v>
      </c>
      <c r="C541" s="9" t="s">
        <v>862</v>
      </c>
      <c r="D541" s="8"/>
      <c r="E541" s="8"/>
      <c r="F541" s="9"/>
    </row>
    <row r="542" spans="1:6" ht="15" customHeight="1" x14ac:dyDescent="0.2">
      <c r="A542" s="3" t="s">
        <v>1852</v>
      </c>
      <c r="B542" s="3" t="s">
        <v>1853</v>
      </c>
      <c r="C542" s="3" t="s">
        <v>862</v>
      </c>
      <c r="D542" s="2"/>
      <c r="E542" s="2"/>
      <c r="F542" s="3"/>
    </row>
    <row r="543" spans="1:6" ht="15" customHeight="1" x14ac:dyDescent="0.2">
      <c r="A543" s="9" t="s">
        <v>1854</v>
      </c>
      <c r="B543" s="9" t="s">
        <v>1855</v>
      </c>
      <c r="C543" s="9" t="s">
        <v>862</v>
      </c>
      <c r="D543" s="8"/>
      <c r="E543" s="8"/>
      <c r="F543" s="9"/>
    </row>
    <row r="544" spans="1:6" ht="15" customHeight="1" x14ac:dyDescent="0.2">
      <c r="A544" s="3" t="s">
        <v>1856</v>
      </c>
      <c r="B544" s="3" t="s">
        <v>1232</v>
      </c>
      <c r="C544" s="3" t="s">
        <v>862</v>
      </c>
      <c r="D544" s="2"/>
      <c r="E544" s="2"/>
      <c r="F544" s="3"/>
    </row>
    <row r="545" spans="1:6" ht="15" customHeight="1" x14ac:dyDescent="0.2">
      <c r="A545" s="9" t="s">
        <v>1857</v>
      </c>
      <c r="B545" s="9" t="s">
        <v>1858</v>
      </c>
      <c r="C545" s="9" t="s">
        <v>862</v>
      </c>
      <c r="D545" s="8"/>
      <c r="E545" s="8"/>
      <c r="F545" s="9"/>
    </row>
    <row r="546" spans="1:6" ht="15" customHeight="1" x14ac:dyDescent="0.2">
      <c r="A546" s="3" t="s">
        <v>1859</v>
      </c>
      <c r="B546" s="3" t="s">
        <v>1274</v>
      </c>
      <c r="C546" s="3" t="s">
        <v>862</v>
      </c>
      <c r="D546" s="2"/>
      <c r="E546" s="2"/>
      <c r="F546" s="3"/>
    </row>
    <row r="547" spans="1:6" ht="15" customHeight="1" x14ac:dyDescent="0.2">
      <c r="A547" s="9" t="s">
        <v>1860</v>
      </c>
      <c r="B547" s="9" t="s">
        <v>1248</v>
      </c>
      <c r="C547" s="9" t="s">
        <v>862</v>
      </c>
      <c r="D547" s="8"/>
      <c r="E547" s="8"/>
      <c r="F547" s="9"/>
    </row>
    <row r="548" spans="1:6" ht="15" customHeight="1" x14ac:dyDescent="0.2">
      <c r="A548" s="3" t="s">
        <v>1861</v>
      </c>
      <c r="B548" s="3" t="s">
        <v>1862</v>
      </c>
      <c r="C548" s="3" t="s">
        <v>862</v>
      </c>
      <c r="D548" s="2"/>
      <c r="E548" s="2"/>
      <c r="F548" s="3"/>
    </row>
    <row r="549" spans="1:6" ht="15" customHeight="1" x14ac:dyDescent="0.2">
      <c r="A549" s="9" t="s">
        <v>1863</v>
      </c>
      <c r="B549" s="9" t="s">
        <v>1552</v>
      </c>
      <c r="C549" s="9" t="s">
        <v>862</v>
      </c>
      <c r="D549" s="8"/>
      <c r="E549" s="8"/>
      <c r="F549" s="9"/>
    </row>
    <row r="550" spans="1:6" ht="15" customHeight="1" x14ac:dyDescent="0.2">
      <c r="A550" s="3" t="s">
        <v>1864</v>
      </c>
      <c r="B550" s="3" t="s">
        <v>1865</v>
      </c>
      <c r="C550" s="3" t="s">
        <v>862</v>
      </c>
      <c r="D550" s="2"/>
      <c r="E550" s="2"/>
      <c r="F550" s="3"/>
    </row>
    <row r="551" spans="1:6" ht="15" customHeight="1" x14ac:dyDescent="0.2">
      <c r="A551" s="9" t="s">
        <v>1866</v>
      </c>
      <c r="B551" s="9" t="s">
        <v>1867</v>
      </c>
      <c r="C551" s="9" t="s">
        <v>862</v>
      </c>
      <c r="D551" s="8"/>
      <c r="E551" s="8"/>
      <c r="F551" s="9"/>
    </row>
    <row r="552" spans="1:6" ht="15" customHeight="1" x14ac:dyDescent="0.2">
      <c r="A552" s="3" t="s">
        <v>1868</v>
      </c>
      <c r="B552" s="3" t="s">
        <v>1787</v>
      </c>
      <c r="C552" s="3" t="s">
        <v>862</v>
      </c>
      <c r="D552" s="2"/>
      <c r="E552" s="2"/>
      <c r="F552" s="3"/>
    </row>
    <row r="553" spans="1:6" ht="15" customHeight="1" x14ac:dyDescent="0.2">
      <c r="A553" s="9" t="s">
        <v>1869</v>
      </c>
      <c r="B553" s="9" t="s">
        <v>1709</v>
      </c>
      <c r="C553" s="9" t="s">
        <v>862</v>
      </c>
      <c r="D553" s="8"/>
      <c r="E553" s="8"/>
      <c r="F553" s="9"/>
    </row>
    <row r="554" spans="1:6" ht="15" customHeight="1" x14ac:dyDescent="0.2">
      <c r="A554" s="3" t="s">
        <v>1870</v>
      </c>
      <c r="B554" s="3" t="s">
        <v>1871</v>
      </c>
      <c r="C554" s="3" t="s">
        <v>862</v>
      </c>
      <c r="D554" s="2"/>
      <c r="E554" s="2"/>
      <c r="F554" s="3"/>
    </row>
    <row r="555" spans="1:6" ht="15" customHeight="1" x14ac:dyDescent="0.2">
      <c r="A555" s="9" t="s">
        <v>1872</v>
      </c>
      <c r="B555" s="9" t="s">
        <v>1873</v>
      </c>
      <c r="C555" s="9" t="s">
        <v>862</v>
      </c>
      <c r="D555" s="8"/>
      <c r="E555" s="8"/>
      <c r="F555" s="9"/>
    </row>
    <row r="556" spans="1:6" ht="15" customHeight="1" x14ac:dyDescent="0.2">
      <c r="A556" s="3" t="s">
        <v>1874</v>
      </c>
      <c r="B556" s="3" t="s">
        <v>1875</v>
      </c>
      <c r="C556" s="3" t="s">
        <v>862</v>
      </c>
      <c r="D556" s="2"/>
      <c r="E556" s="2"/>
      <c r="F556" s="3"/>
    </row>
    <row r="557" spans="1:6" ht="15" customHeight="1" x14ac:dyDescent="0.2">
      <c r="A557" s="9" t="s">
        <v>1876</v>
      </c>
      <c r="B557" s="9" t="s">
        <v>1296</v>
      </c>
      <c r="C557" s="9" t="s">
        <v>862</v>
      </c>
      <c r="D557" s="8"/>
      <c r="E557" s="8"/>
      <c r="F557" s="9"/>
    </row>
    <row r="558" spans="1:6" ht="15" customHeight="1" x14ac:dyDescent="0.2">
      <c r="A558" s="3" t="s">
        <v>1877</v>
      </c>
      <c r="B558" s="3" t="s">
        <v>1878</v>
      </c>
      <c r="C558" s="3" t="s">
        <v>862</v>
      </c>
      <c r="D558" s="2"/>
      <c r="E558" s="2"/>
      <c r="F558" s="3"/>
    </row>
    <row r="559" spans="1:6" ht="15" customHeight="1" x14ac:dyDescent="0.2">
      <c r="A559" s="9" t="s">
        <v>1879</v>
      </c>
      <c r="B559" s="9" t="s">
        <v>1274</v>
      </c>
      <c r="C559" s="9" t="s">
        <v>862</v>
      </c>
      <c r="D559" s="8"/>
      <c r="E559" s="8"/>
      <c r="F559" s="9"/>
    </row>
    <row r="560" spans="1:6" ht="15" customHeight="1" x14ac:dyDescent="0.2">
      <c r="A560" s="3" t="s">
        <v>1880</v>
      </c>
      <c r="B560" s="3" t="s">
        <v>1881</v>
      </c>
      <c r="C560" s="3" t="s">
        <v>862</v>
      </c>
      <c r="D560" s="2"/>
      <c r="E560" s="2"/>
      <c r="F560" s="3"/>
    </row>
    <row r="561" spans="1:6" ht="15" customHeight="1" x14ac:dyDescent="0.2">
      <c r="A561" s="9" t="s">
        <v>1882</v>
      </c>
      <c r="B561" s="9" t="s">
        <v>1883</v>
      </c>
      <c r="C561" s="9" t="s">
        <v>862</v>
      </c>
      <c r="D561" s="8"/>
      <c r="E561" s="8"/>
      <c r="F561" s="9"/>
    </row>
    <row r="562" spans="1:6" ht="15" customHeight="1" x14ac:dyDescent="0.2">
      <c r="A562" s="3" t="s">
        <v>1884</v>
      </c>
      <c r="B562" s="3" t="s">
        <v>1885</v>
      </c>
      <c r="C562" s="3" t="s">
        <v>862</v>
      </c>
      <c r="D562" s="2"/>
      <c r="E562" s="2"/>
      <c r="F562" s="3"/>
    </row>
    <row r="563" spans="1:6" ht="15" customHeight="1" x14ac:dyDescent="0.2">
      <c r="A563" s="9" t="s">
        <v>1886</v>
      </c>
      <c r="B563" s="9" t="s">
        <v>1887</v>
      </c>
      <c r="C563" s="9" t="s">
        <v>862</v>
      </c>
      <c r="D563" s="8"/>
      <c r="E563" s="8"/>
      <c r="F563" s="9"/>
    </row>
    <row r="564" spans="1:6" ht="15" customHeight="1" x14ac:dyDescent="0.2">
      <c r="A564" s="3" t="s">
        <v>1888</v>
      </c>
      <c r="B564" s="3" t="s">
        <v>1889</v>
      </c>
      <c r="C564" s="3" t="s">
        <v>862</v>
      </c>
      <c r="D564" s="2"/>
      <c r="E564" s="2"/>
      <c r="F564" s="3"/>
    </row>
    <row r="565" spans="1:6" ht="15" customHeight="1" x14ac:dyDescent="0.2">
      <c r="A565" s="9" t="s">
        <v>1890</v>
      </c>
      <c r="B565" s="9" t="s">
        <v>1891</v>
      </c>
      <c r="C565" s="9" t="s">
        <v>862</v>
      </c>
      <c r="D565" s="8"/>
      <c r="E565" s="8"/>
      <c r="F565" s="9"/>
    </row>
    <row r="566" spans="1:6" ht="15" customHeight="1" x14ac:dyDescent="0.2">
      <c r="A566" s="3" t="s">
        <v>1892</v>
      </c>
      <c r="B566" s="3" t="s">
        <v>1893</v>
      </c>
      <c r="C566" s="3" t="s">
        <v>862</v>
      </c>
      <c r="D566" s="2"/>
      <c r="E566" s="2"/>
      <c r="F566" s="3"/>
    </row>
    <row r="567" spans="1:6" ht="15" customHeight="1" x14ac:dyDescent="0.2">
      <c r="A567" s="9" t="s">
        <v>1894</v>
      </c>
      <c r="B567" s="9" t="s">
        <v>1587</v>
      </c>
      <c r="C567" s="9" t="s">
        <v>862</v>
      </c>
      <c r="D567" s="8"/>
      <c r="E567" s="8"/>
      <c r="F567" s="9"/>
    </row>
    <row r="568" spans="1:6" ht="15" customHeight="1" x14ac:dyDescent="0.2">
      <c r="A568" s="3" t="s">
        <v>1895</v>
      </c>
      <c r="B568" s="3" t="s">
        <v>1896</v>
      </c>
      <c r="C568" s="3" t="s">
        <v>862</v>
      </c>
      <c r="D568" s="2"/>
      <c r="E568" s="2"/>
      <c r="F568" s="3"/>
    </row>
    <row r="569" spans="1:6" ht="15" customHeight="1" x14ac:dyDescent="0.2">
      <c r="A569" s="9" t="s">
        <v>1897</v>
      </c>
      <c r="B569" s="9" t="s">
        <v>1294</v>
      </c>
      <c r="C569" s="9" t="s">
        <v>862</v>
      </c>
      <c r="D569" s="8"/>
      <c r="E569" s="8"/>
      <c r="F569" s="9"/>
    </row>
    <row r="570" spans="1:6" ht="15" customHeight="1" x14ac:dyDescent="0.2">
      <c r="A570" s="3" t="s">
        <v>1898</v>
      </c>
      <c r="B570" s="3" t="s">
        <v>1899</v>
      </c>
      <c r="C570" s="3" t="s">
        <v>862</v>
      </c>
      <c r="D570" s="2"/>
      <c r="E570" s="2"/>
      <c r="F570" s="3"/>
    </row>
    <row r="571" spans="1:6" ht="15" customHeight="1" x14ac:dyDescent="0.2">
      <c r="A571" s="9" t="s">
        <v>1900</v>
      </c>
      <c r="B571" s="9" t="s">
        <v>1292</v>
      </c>
      <c r="C571" s="9" t="s">
        <v>862</v>
      </c>
      <c r="D571" s="8"/>
      <c r="E571" s="8"/>
      <c r="F571" s="9"/>
    </row>
    <row r="572" spans="1:6" ht="15" customHeight="1" x14ac:dyDescent="0.2">
      <c r="A572" s="3" t="s">
        <v>1901</v>
      </c>
      <c r="B572" s="3" t="s">
        <v>1902</v>
      </c>
      <c r="C572" s="3" t="s">
        <v>862</v>
      </c>
      <c r="D572" s="2"/>
      <c r="E572" s="2"/>
      <c r="F572" s="3"/>
    </row>
    <row r="573" spans="1:6" ht="15" customHeight="1" x14ac:dyDescent="0.2">
      <c r="A573" s="9" t="s">
        <v>1903</v>
      </c>
      <c r="B573" s="9" t="s">
        <v>1904</v>
      </c>
      <c r="C573" s="9" t="s">
        <v>862</v>
      </c>
      <c r="D573" s="8"/>
      <c r="E573" s="8"/>
      <c r="F573" s="9"/>
    </row>
    <row r="574" spans="1:6" ht="15" customHeight="1" x14ac:dyDescent="0.2">
      <c r="A574" s="3" t="s">
        <v>1905</v>
      </c>
      <c r="B574" s="3" t="s">
        <v>1618</v>
      </c>
      <c r="C574" s="3" t="s">
        <v>862</v>
      </c>
      <c r="D574" s="2"/>
      <c r="E574" s="2"/>
      <c r="F574" s="3"/>
    </row>
    <row r="575" spans="1:6" ht="15" customHeight="1" x14ac:dyDescent="0.2">
      <c r="A575" s="9" t="s">
        <v>1906</v>
      </c>
      <c r="B575" s="9" t="s">
        <v>1907</v>
      </c>
      <c r="C575" s="9" t="s">
        <v>862</v>
      </c>
      <c r="D575" s="8"/>
      <c r="E575" s="8"/>
      <c r="F575" s="9"/>
    </row>
    <row r="576" spans="1:6" ht="15" customHeight="1" x14ac:dyDescent="0.2">
      <c r="A576" s="3" t="s">
        <v>1908</v>
      </c>
      <c r="B576" s="3" t="s">
        <v>1352</v>
      </c>
      <c r="C576" s="3" t="s">
        <v>862</v>
      </c>
      <c r="D576" s="2"/>
      <c r="E576" s="2"/>
      <c r="F576" s="3"/>
    </row>
    <row r="577" spans="1:6" ht="15" customHeight="1" x14ac:dyDescent="0.2">
      <c r="A577" s="9" t="s">
        <v>1909</v>
      </c>
      <c r="B577" s="9" t="s">
        <v>1910</v>
      </c>
      <c r="C577" s="9" t="s">
        <v>862</v>
      </c>
      <c r="D577" s="8"/>
      <c r="E577" s="8"/>
      <c r="F577" s="9"/>
    </row>
    <row r="578" spans="1:6" ht="15" customHeight="1" x14ac:dyDescent="0.2">
      <c r="A578" s="3" t="s">
        <v>1911</v>
      </c>
      <c r="B578" s="3" t="s">
        <v>1391</v>
      </c>
      <c r="C578" s="3" t="s">
        <v>862</v>
      </c>
      <c r="D578" s="2"/>
      <c r="E578" s="2"/>
      <c r="F578" s="3"/>
    </row>
    <row r="579" spans="1:6" ht="15" customHeight="1" x14ac:dyDescent="0.2">
      <c r="A579" s="9" t="s">
        <v>1912</v>
      </c>
      <c r="B579" s="9" t="s">
        <v>1913</v>
      </c>
      <c r="C579" s="9" t="s">
        <v>862</v>
      </c>
      <c r="D579" s="8"/>
      <c r="E579" s="8"/>
      <c r="F579" s="9"/>
    </row>
    <row r="580" spans="1:6" ht="15" customHeight="1" x14ac:dyDescent="0.2">
      <c r="A580" s="3" t="s">
        <v>1914</v>
      </c>
      <c r="B580" s="3" t="s">
        <v>1915</v>
      </c>
      <c r="C580" s="3" t="s">
        <v>862</v>
      </c>
      <c r="D580" s="2"/>
      <c r="E580" s="2"/>
      <c r="F580" s="3"/>
    </row>
    <row r="581" spans="1:6" ht="15" customHeight="1" x14ac:dyDescent="0.2">
      <c r="A581" s="9" t="s">
        <v>1916</v>
      </c>
      <c r="B581" s="9" t="s">
        <v>1917</v>
      </c>
      <c r="C581" s="9" t="s">
        <v>862</v>
      </c>
      <c r="D581" s="8"/>
      <c r="E581" s="8"/>
      <c r="F581" s="9"/>
    </row>
    <row r="582" spans="1:6" ht="15" customHeight="1" x14ac:dyDescent="0.2">
      <c r="A582" s="3" t="s">
        <v>1918</v>
      </c>
      <c r="B582" s="3" t="s">
        <v>1798</v>
      </c>
      <c r="C582" s="3" t="s">
        <v>862</v>
      </c>
      <c r="D582" s="2"/>
      <c r="E582" s="2"/>
      <c r="F582" s="3"/>
    </row>
    <row r="583" spans="1:6" ht="15" customHeight="1" x14ac:dyDescent="0.2">
      <c r="A583" s="9" t="s">
        <v>1919</v>
      </c>
      <c r="B583" s="9" t="s">
        <v>1310</v>
      </c>
      <c r="C583" s="9" t="s">
        <v>862</v>
      </c>
      <c r="D583" s="8"/>
      <c r="E583" s="8"/>
      <c r="F583" s="9"/>
    </row>
    <row r="584" spans="1:6" ht="15" customHeight="1" x14ac:dyDescent="0.2">
      <c r="A584" s="3" t="s">
        <v>1920</v>
      </c>
      <c r="B584" s="3" t="s">
        <v>1921</v>
      </c>
      <c r="C584" s="3" t="s">
        <v>862</v>
      </c>
      <c r="D584" s="2"/>
      <c r="E584" s="2"/>
      <c r="F584" s="3"/>
    </row>
    <row r="585" spans="1:6" ht="15" customHeight="1" x14ac:dyDescent="0.2">
      <c r="A585" s="9" t="s">
        <v>1922</v>
      </c>
      <c r="B585" s="9" t="s">
        <v>1923</v>
      </c>
      <c r="C585" s="9" t="s">
        <v>862</v>
      </c>
      <c r="D585" s="8"/>
      <c r="E585" s="8"/>
      <c r="F585" s="9"/>
    </row>
    <row r="586" spans="1:6" ht="15" customHeight="1" x14ac:dyDescent="0.2">
      <c r="A586" s="3" t="s">
        <v>1924</v>
      </c>
      <c r="B586" s="3" t="s">
        <v>1258</v>
      </c>
      <c r="C586" s="3" t="s">
        <v>862</v>
      </c>
      <c r="D586" s="2"/>
      <c r="E586" s="2"/>
      <c r="F586" s="3"/>
    </row>
    <row r="587" spans="1:6" ht="15" customHeight="1" x14ac:dyDescent="0.2">
      <c r="A587" s="9" t="s">
        <v>1925</v>
      </c>
      <c r="B587" s="9" t="s">
        <v>1926</v>
      </c>
      <c r="C587" s="9" t="s">
        <v>862</v>
      </c>
      <c r="D587" s="8"/>
      <c r="E587" s="8"/>
      <c r="F587" s="9"/>
    </row>
    <row r="588" spans="1:6" ht="15" customHeight="1" x14ac:dyDescent="0.2">
      <c r="A588" s="3" t="s">
        <v>1927</v>
      </c>
      <c r="B588" s="3" t="s">
        <v>1928</v>
      </c>
      <c r="C588" s="3" t="s">
        <v>862</v>
      </c>
      <c r="D588" s="2"/>
      <c r="E588" s="2"/>
      <c r="F588" s="3"/>
    </row>
    <row r="589" spans="1:6" ht="15" customHeight="1" x14ac:dyDescent="0.2">
      <c r="A589" s="9" t="s">
        <v>1929</v>
      </c>
      <c r="B589" s="9" t="s">
        <v>1930</v>
      </c>
      <c r="C589" s="9" t="s">
        <v>862</v>
      </c>
      <c r="D589" s="8"/>
      <c r="E589" s="8"/>
      <c r="F589" s="9"/>
    </row>
    <row r="590" spans="1:6" ht="15" customHeight="1" x14ac:dyDescent="0.2">
      <c r="A590" s="3" t="s">
        <v>1931</v>
      </c>
      <c r="B590" s="3" t="s">
        <v>1932</v>
      </c>
      <c r="C590" s="3" t="s">
        <v>862</v>
      </c>
      <c r="D590" s="2"/>
      <c r="E590" s="2"/>
      <c r="F590" s="3"/>
    </row>
    <row r="591" spans="1:6" ht="15" customHeight="1" x14ac:dyDescent="0.2">
      <c r="A591" s="9" t="s">
        <v>1933</v>
      </c>
      <c r="B591" s="9" t="s">
        <v>1934</v>
      </c>
      <c r="C591" s="9" t="s">
        <v>862</v>
      </c>
      <c r="D591" s="8"/>
      <c r="E591" s="8"/>
      <c r="F591" s="9"/>
    </row>
    <row r="592" spans="1:6" ht="15" customHeight="1" x14ac:dyDescent="0.2">
      <c r="A592" s="3" t="s">
        <v>1935</v>
      </c>
      <c r="B592" s="3" t="s">
        <v>1936</v>
      </c>
      <c r="C592" s="3" t="s">
        <v>862</v>
      </c>
      <c r="D592" s="2"/>
      <c r="E592" s="2"/>
      <c r="F592" s="3"/>
    </row>
    <row r="593" spans="1:6" ht="15" customHeight="1" x14ac:dyDescent="0.2">
      <c r="A593" s="9" t="s">
        <v>1937</v>
      </c>
      <c r="B593" s="9" t="s">
        <v>1881</v>
      </c>
      <c r="C593" s="9" t="s">
        <v>862</v>
      </c>
      <c r="D593" s="8"/>
      <c r="E593" s="8"/>
      <c r="F593" s="9"/>
    </row>
    <row r="594" spans="1:6" ht="15" customHeight="1" x14ac:dyDescent="0.2">
      <c r="A594" s="3" t="s">
        <v>1938</v>
      </c>
      <c r="B594" s="3" t="s">
        <v>1252</v>
      </c>
      <c r="C594" s="3" t="s">
        <v>862</v>
      </c>
      <c r="D594" s="2"/>
      <c r="E594" s="2"/>
      <c r="F594" s="3"/>
    </row>
    <row r="595" spans="1:6" ht="15" customHeight="1" x14ac:dyDescent="0.2">
      <c r="A595" s="9" t="s">
        <v>1939</v>
      </c>
      <c r="B595" s="9" t="s">
        <v>1321</v>
      </c>
      <c r="C595" s="9" t="s">
        <v>862</v>
      </c>
      <c r="D595" s="8"/>
      <c r="E595" s="8"/>
      <c r="F595" s="9"/>
    </row>
    <row r="596" spans="1:6" ht="15" customHeight="1" x14ac:dyDescent="0.2">
      <c r="A596" s="3" t="s">
        <v>1940</v>
      </c>
      <c r="B596" s="3" t="s">
        <v>1941</v>
      </c>
      <c r="C596" s="3" t="s">
        <v>862</v>
      </c>
      <c r="D596" s="2"/>
      <c r="E596" s="2"/>
      <c r="F596" s="3"/>
    </row>
    <row r="597" spans="1:6" ht="15" customHeight="1" x14ac:dyDescent="0.2">
      <c r="A597" s="9" t="s">
        <v>1942</v>
      </c>
      <c r="B597" s="9" t="s">
        <v>1943</v>
      </c>
      <c r="C597" s="9" t="s">
        <v>862</v>
      </c>
      <c r="D597" s="8"/>
      <c r="E597" s="8"/>
      <c r="F597" s="9"/>
    </row>
    <row r="598" spans="1:6" ht="15" customHeight="1" x14ac:dyDescent="0.2">
      <c r="A598" s="3" t="s">
        <v>1944</v>
      </c>
      <c r="B598" s="3" t="s">
        <v>1945</v>
      </c>
      <c r="C598" s="3" t="s">
        <v>862</v>
      </c>
      <c r="D598" s="2"/>
      <c r="E598" s="2"/>
      <c r="F598" s="3"/>
    </row>
    <row r="599" spans="1:6" ht="15" customHeight="1" x14ac:dyDescent="0.2">
      <c r="A599" s="9" t="s">
        <v>1946</v>
      </c>
      <c r="B599" s="9" t="s">
        <v>1947</v>
      </c>
      <c r="C599" s="9" t="s">
        <v>862</v>
      </c>
      <c r="D599" s="8"/>
      <c r="E599" s="8"/>
      <c r="F599" s="9"/>
    </row>
    <row r="600" spans="1:6" ht="15" customHeight="1" x14ac:dyDescent="0.2">
      <c r="A600" s="3" t="s">
        <v>1948</v>
      </c>
      <c r="B600" s="3" t="s">
        <v>1949</v>
      </c>
      <c r="C600" s="3" t="s">
        <v>862</v>
      </c>
      <c r="D600" s="2"/>
      <c r="E600" s="2"/>
      <c r="F600" s="3"/>
    </row>
    <row r="601" spans="1:6" ht="15" customHeight="1" x14ac:dyDescent="0.2">
      <c r="A601" s="9" t="s">
        <v>1950</v>
      </c>
      <c r="B601" s="9" t="s">
        <v>1238</v>
      </c>
      <c r="C601" s="9" t="s">
        <v>862</v>
      </c>
      <c r="D601" s="8"/>
      <c r="E601" s="8"/>
      <c r="F601" s="9"/>
    </row>
    <row r="602" spans="1:6" ht="15" customHeight="1" x14ac:dyDescent="0.2">
      <c r="A602" s="3" t="s">
        <v>1951</v>
      </c>
      <c r="B602" s="3" t="s">
        <v>1809</v>
      </c>
      <c r="C602" s="3" t="s">
        <v>862</v>
      </c>
      <c r="D602" s="2"/>
      <c r="E602" s="2"/>
      <c r="F602" s="3"/>
    </row>
    <row r="603" spans="1:6" ht="15" customHeight="1" x14ac:dyDescent="0.2">
      <c r="A603" s="9" t="s">
        <v>1952</v>
      </c>
      <c r="B603" s="9" t="s">
        <v>1715</v>
      </c>
      <c r="C603" s="9" t="s">
        <v>862</v>
      </c>
      <c r="D603" s="8"/>
      <c r="E603" s="8"/>
      <c r="F603" s="9"/>
    </row>
    <row r="604" spans="1:6" ht="15" customHeight="1" x14ac:dyDescent="0.2">
      <c r="A604" s="3" t="s">
        <v>1953</v>
      </c>
      <c r="B604" s="3" t="s">
        <v>1258</v>
      </c>
      <c r="C604" s="3" t="s">
        <v>862</v>
      </c>
      <c r="D604" s="2"/>
      <c r="E604" s="2"/>
      <c r="F604" s="3"/>
    </row>
    <row r="605" spans="1:6" ht="15" customHeight="1" x14ac:dyDescent="0.2">
      <c r="A605" s="9" t="s">
        <v>1954</v>
      </c>
      <c r="B605" s="9" t="s">
        <v>1304</v>
      </c>
      <c r="C605" s="9" t="s">
        <v>862</v>
      </c>
      <c r="D605" s="8"/>
      <c r="E605" s="8"/>
      <c r="F605" s="9"/>
    </row>
    <row r="606" spans="1:6" ht="15" customHeight="1" x14ac:dyDescent="0.2">
      <c r="A606" s="3" t="s">
        <v>1955</v>
      </c>
      <c r="B606" s="3" t="s">
        <v>1956</v>
      </c>
      <c r="C606" s="3" t="s">
        <v>862</v>
      </c>
      <c r="D606" s="2"/>
      <c r="E606" s="2"/>
      <c r="F606" s="3"/>
    </row>
    <row r="607" spans="1:6" ht="15" customHeight="1" x14ac:dyDescent="0.2">
      <c r="A607" s="9" t="s">
        <v>1957</v>
      </c>
      <c r="B607" s="9" t="s">
        <v>1379</v>
      </c>
      <c r="C607" s="9" t="s">
        <v>862</v>
      </c>
      <c r="D607" s="8"/>
      <c r="E607" s="8"/>
      <c r="F607" s="9"/>
    </row>
    <row r="608" spans="1:6" ht="15" customHeight="1" x14ac:dyDescent="0.2">
      <c r="A608" s="3" t="s">
        <v>1958</v>
      </c>
      <c r="B608" s="3" t="s">
        <v>1300</v>
      </c>
      <c r="C608" s="3" t="s">
        <v>862</v>
      </c>
      <c r="D608" s="2"/>
      <c r="E608" s="2"/>
      <c r="F608" s="3"/>
    </row>
    <row r="609" spans="1:6" ht="15" customHeight="1" x14ac:dyDescent="0.2">
      <c r="A609" s="9" t="s">
        <v>1959</v>
      </c>
      <c r="B609" s="9" t="s">
        <v>1240</v>
      </c>
      <c r="C609" s="9" t="s">
        <v>862</v>
      </c>
      <c r="D609" s="8"/>
      <c r="E609" s="8"/>
      <c r="F609" s="9"/>
    </row>
    <row r="610" spans="1:6" ht="15" customHeight="1" x14ac:dyDescent="0.2">
      <c r="A610" s="3" t="s">
        <v>1960</v>
      </c>
      <c r="B610" s="3" t="s">
        <v>1961</v>
      </c>
      <c r="C610" s="3" t="s">
        <v>862</v>
      </c>
      <c r="D610" s="2"/>
      <c r="E610" s="2"/>
      <c r="F610" s="3"/>
    </row>
    <row r="611" spans="1:6" ht="15" customHeight="1" x14ac:dyDescent="0.2">
      <c r="A611" s="9" t="s">
        <v>1962</v>
      </c>
      <c r="B611" s="9" t="s">
        <v>1963</v>
      </c>
      <c r="C611" s="9" t="s">
        <v>862</v>
      </c>
      <c r="D611" s="8"/>
      <c r="E611" s="8"/>
      <c r="F611" s="9"/>
    </row>
    <row r="612" spans="1:6" ht="15" customHeight="1" x14ac:dyDescent="0.2">
      <c r="A612" s="3" t="s">
        <v>1964</v>
      </c>
      <c r="B612" s="3" t="s">
        <v>1965</v>
      </c>
      <c r="C612" s="3" t="s">
        <v>862</v>
      </c>
      <c r="D612" s="2"/>
      <c r="E612" s="2"/>
      <c r="F612" s="3"/>
    </row>
    <row r="613" spans="1:6" ht="15" customHeight="1" x14ac:dyDescent="0.2">
      <c r="A613" s="9" t="s">
        <v>1966</v>
      </c>
      <c r="B613" s="9" t="s">
        <v>1967</v>
      </c>
      <c r="C613" s="9" t="s">
        <v>862</v>
      </c>
      <c r="D613" s="8"/>
      <c r="E613" s="8"/>
      <c r="F613" s="9"/>
    </row>
    <row r="614" spans="1:6" ht="15" customHeight="1" x14ac:dyDescent="0.2">
      <c r="A614" s="3" t="s">
        <v>1968</v>
      </c>
      <c r="B614" s="3" t="s">
        <v>1280</v>
      </c>
      <c r="C614" s="3" t="s">
        <v>862</v>
      </c>
      <c r="D614" s="2"/>
      <c r="E614" s="2"/>
      <c r="F614" s="3"/>
    </row>
    <row r="615" spans="1:6" ht="15" customHeight="1" x14ac:dyDescent="0.2">
      <c r="A615" s="9" t="s">
        <v>1969</v>
      </c>
      <c r="B615" s="9" t="s">
        <v>1709</v>
      </c>
      <c r="C615" s="9" t="s">
        <v>862</v>
      </c>
      <c r="D615" s="8"/>
      <c r="E615" s="8"/>
      <c r="F615" s="9"/>
    </row>
    <row r="616" spans="1:6" ht="15" customHeight="1" x14ac:dyDescent="0.2">
      <c r="A616" s="3" t="s">
        <v>1970</v>
      </c>
      <c r="B616" s="3" t="s">
        <v>1620</v>
      </c>
      <c r="C616" s="3" t="s">
        <v>862</v>
      </c>
      <c r="D616" s="2"/>
      <c r="E616" s="2"/>
      <c r="F616" s="3"/>
    </row>
    <row r="617" spans="1:6" ht="15" customHeight="1" x14ac:dyDescent="0.2">
      <c r="A617" s="9" t="s">
        <v>1971</v>
      </c>
      <c r="B617" s="9" t="s">
        <v>1972</v>
      </c>
      <c r="C617" s="9" t="s">
        <v>862</v>
      </c>
      <c r="D617" s="8"/>
      <c r="E617" s="8"/>
      <c r="F617" s="9"/>
    </row>
    <row r="618" spans="1:6" ht="15" customHeight="1" x14ac:dyDescent="0.2">
      <c r="A618" s="3" t="s">
        <v>1973</v>
      </c>
      <c r="B618" s="3" t="s">
        <v>1974</v>
      </c>
      <c r="C618" s="3" t="s">
        <v>862</v>
      </c>
      <c r="D618" s="2"/>
      <c r="E618" s="2"/>
      <c r="F618" s="3"/>
    </row>
    <row r="619" spans="1:6" ht="15" customHeight="1" x14ac:dyDescent="0.2">
      <c r="A619" s="9" t="s">
        <v>1975</v>
      </c>
      <c r="B619" s="9" t="s">
        <v>1296</v>
      </c>
      <c r="C619" s="9" t="s">
        <v>862</v>
      </c>
      <c r="D619" s="8"/>
      <c r="E619" s="8"/>
      <c r="F619" s="9"/>
    </row>
    <row r="620" spans="1:6" ht="15" customHeight="1" x14ac:dyDescent="0.2">
      <c r="A620" s="3" t="s">
        <v>1976</v>
      </c>
      <c r="B620" s="3" t="s">
        <v>1977</v>
      </c>
      <c r="C620" s="3" t="s">
        <v>862</v>
      </c>
      <c r="D620" s="2"/>
      <c r="E620" s="2"/>
      <c r="F620" s="3"/>
    </row>
    <row r="621" spans="1:6" ht="15" customHeight="1" x14ac:dyDescent="0.2">
      <c r="A621" s="9" t="s">
        <v>1978</v>
      </c>
      <c r="B621" s="9" t="s">
        <v>1979</v>
      </c>
      <c r="C621" s="9" t="s">
        <v>862</v>
      </c>
      <c r="D621" s="8"/>
      <c r="E621" s="8"/>
      <c r="F621" s="9"/>
    </row>
    <row r="622" spans="1:6" ht="15" customHeight="1" x14ac:dyDescent="0.2">
      <c r="A622" s="3" t="s">
        <v>1980</v>
      </c>
      <c r="B622" s="3" t="s">
        <v>1981</v>
      </c>
      <c r="C622" s="3" t="s">
        <v>862</v>
      </c>
      <c r="D622" s="2"/>
      <c r="E622" s="2"/>
      <c r="F622" s="3"/>
    </row>
    <row r="623" spans="1:6" ht="15" customHeight="1" x14ac:dyDescent="0.2">
      <c r="A623" s="9" t="s">
        <v>1982</v>
      </c>
      <c r="B623" s="9" t="s">
        <v>1983</v>
      </c>
      <c r="C623" s="9" t="s">
        <v>862</v>
      </c>
      <c r="D623" s="8"/>
      <c r="E623" s="8"/>
      <c r="F623" s="9"/>
    </row>
    <row r="624" spans="1:6" ht="15" customHeight="1" x14ac:dyDescent="0.2">
      <c r="A624" s="3" t="s">
        <v>1984</v>
      </c>
      <c r="B624" s="3" t="s">
        <v>1985</v>
      </c>
      <c r="C624" s="3" t="s">
        <v>862</v>
      </c>
      <c r="D624" s="2"/>
      <c r="E624" s="2"/>
      <c r="F624" s="3"/>
    </row>
    <row r="625" spans="1:6" ht="15" customHeight="1" x14ac:dyDescent="0.2">
      <c r="A625" s="9" t="s">
        <v>1986</v>
      </c>
      <c r="B625" s="9" t="s">
        <v>1680</v>
      </c>
      <c r="C625" s="9" t="s">
        <v>862</v>
      </c>
      <c r="D625" s="8"/>
      <c r="E625" s="8"/>
      <c r="F625" s="9"/>
    </row>
    <row r="626" spans="1:6" ht="15" customHeight="1" x14ac:dyDescent="0.2">
      <c r="A626" s="3" t="s">
        <v>1987</v>
      </c>
      <c r="B626" s="3" t="s">
        <v>1988</v>
      </c>
      <c r="C626" s="3" t="s">
        <v>862</v>
      </c>
      <c r="D626" s="2"/>
      <c r="E626" s="2"/>
      <c r="F626" s="3"/>
    </row>
    <row r="627" spans="1:6" ht="15" customHeight="1" x14ac:dyDescent="0.2">
      <c r="A627" s="9" t="s">
        <v>1989</v>
      </c>
      <c r="B627" s="9" t="s">
        <v>1990</v>
      </c>
      <c r="C627" s="9" t="s">
        <v>862</v>
      </c>
      <c r="D627" s="8"/>
      <c r="E627" s="8"/>
      <c r="F627" s="9"/>
    </row>
    <row r="628" spans="1:6" ht="15" customHeight="1" x14ac:dyDescent="0.2">
      <c r="A628" s="3" t="s">
        <v>1991</v>
      </c>
      <c r="B628" s="3" t="s">
        <v>1992</v>
      </c>
      <c r="C628" s="3" t="s">
        <v>862</v>
      </c>
      <c r="D628" s="2"/>
      <c r="E628" s="2"/>
      <c r="F628" s="3"/>
    </row>
    <row r="629" spans="1:6" ht="15" customHeight="1" x14ac:dyDescent="0.2">
      <c r="A629" s="9" t="s">
        <v>1993</v>
      </c>
      <c r="B629" s="9" t="s">
        <v>1994</v>
      </c>
      <c r="C629" s="9" t="s">
        <v>862</v>
      </c>
      <c r="D629" s="8"/>
      <c r="E629" s="8"/>
      <c r="F629" s="9"/>
    </row>
    <row r="630" spans="1:6" ht="15" customHeight="1" x14ac:dyDescent="0.2">
      <c r="A630" s="3" t="s">
        <v>1995</v>
      </c>
      <c r="B630" s="3" t="s">
        <v>1887</v>
      </c>
      <c r="C630" s="3" t="s">
        <v>862</v>
      </c>
      <c r="D630" s="2"/>
      <c r="E630" s="2"/>
      <c r="F630" s="3"/>
    </row>
    <row r="631" spans="1:6" ht="15" customHeight="1" x14ac:dyDescent="0.2">
      <c r="A631" s="9" t="s">
        <v>1996</v>
      </c>
      <c r="B631" s="9" t="s">
        <v>1997</v>
      </c>
      <c r="C631" s="9" t="s">
        <v>862</v>
      </c>
      <c r="D631" s="8"/>
      <c r="E631" s="8"/>
      <c r="F631" s="9"/>
    </row>
    <row r="632" spans="1:6" ht="15" customHeight="1" x14ac:dyDescent="0.2">
      <c r="A632" s="3" t="s">
        <v>1998</v>
      </c>
      <c r="B632" s="3" t="s">
        <v>1999</v>
      </c>
      <c r="C632" s="3" t="s">
        <v>862</v>
      </c>
      <c r="D632" s="2"/>
      <c r="E632" s="2"/>
      <c r="F632" s="3"/>
    </row>
    <row r="633" spans="1:6" ht="15" customHeight="1" x14ac:dyDescent="0.2">
      <c r="A633" s="9" t="s">
        <v>2000</v>
      </c>
      <c r="B633" s="9" t="s">
        <v>2001</v>
      </c>
      <c r="C633" s="9" t="s">
        <v>862</v>
      </c>
      <c r="D633" s="8"/>
      <c r="E633" s="8"/>
      <c r="F633" s="9"/>
    </row>
    <row r="634" spans="1:6" ht="15" customHeight="1" x14ac:dyDescent="0.2">
      <c r="A634" s="3" t="s">
        <v>2002</v>
      </c>
      <c r="B634" s="3" t="s">
        <v>2003</v>
      </c>
      <c r="C634" s="3" t="s">
        <v>862</v>
      </c>
      <c r="D634" s="2"/>
      <c r="E634" s="2"/>
      <c r="F634" s="3"/>
    </row>
    <row r="635" spans="1:6" ht="15" customHeight="1" x14ac:dyDescent="0.2">
      <c r="A635" s="9" t="s">
        <v>2004</v>
      </c>
      <c r="B635" s="9" t="s">
        <v>2005</v>
      </c>
      <c r="C635" s="9" t="s">
        <v>862</v>
      </c>
      <c r="D635" s="8"/>
      <c r="E635" s="8"/>
      <c r="F635" s="9"/>
    </row>
    <row r="636" spans="1:6" ht="15" customHeight="1" x14ac:dyDescent="0.2">
      <c r="A636" s="3" t="s">
        <v>2006</v>
      </c>
      <c r="B636" s="3" t="s">
        <v>2007</v>
      </c>
      <c r="C636" s="3" t="s">
        <v>862</v>
      </c>
      <c r="D636" s="2"/>
      <c r="E636" s="2"/>
      <c r="F636" s="3"/>
    </row>
    <row r="637" spans="1:6" ht="15" customHeight="1" x14ac:dyDescent="0.2">
      <c r="A637" s="9" t="s">
        <v>2008</v>
      </c>
      <c r="B637" s="9" t="s">
        <v>2009</v>
      </c>
      <c r="C637" s="9" t="s">
        <v>862</v>
      </c>
      <c r="D637" s="8"/>
      <c r="E637" s="8"/>
      <c r="F637" s="9"/>
    </row>
    <row r="638" spans="1:6" ht="15" customHeight="1" x14ac:dyDescent="0.2">
      <c r="A638" s="3" t="s">
        <v>2010</v>
      </c>
      <c r="B638" s="3" t="s">
        <v>1501</v>
      </c>
      <c r="C638" s="3" t="s">
        <v>862</v>
      </c>
      <c r="D638" s="2"/>
      <c r="E638" s="2"/>
      <c r="F638" s="3"/>
    </row>
    <row r="639" spans="1:6" ht="15" customHeight="1" x14ac:dyDescent="0.2">
      <c r="A639" s="9" t="s">
        <v>2011</v>
      </c>
      <c r="B639" s="9" t="s">
        <v>1654</v>
      </c>
      <c r="C639" s="9" t="s">
        <v>862</v>
      </c>
      <c r="D639" s="8"/>
      <c r="E639" s="8"/>
      <c r="F639" s="9"/>
    </row>
    <row r="640" spans="1:6" ht="15" customHeight="1" x14ac:dyDescent="0.2">
      <c r="A640" s="3" t="s">
        <v>2012</v>
      </c>
      <c r="B640" s="3" t="s">
        <v>1549</v>
      </c>
      <c r="C640" s="3" t="s">
        <v>862</v>
      </c>
      <c r="D640" s="2"/>
      <c r="E640" s="2"/>
      <c r="F640" s="3"/>
    </row>
    <row r="641" spans="1:6" ht="15" customHeight="1" x14ac:dyDescent="0.2">
      <c r="A641" s="9" t="s">
        <v>2013</v>
      </c>
      <c r="B641" s="9" t="s">
        <v>1622</v>
      </c>
      <c r="C641" s="9" t="s">
        <v>862</v>
      </c>
      <c r="D641" s="8"/>
      <c r="E641" s="8"/>
      <c r="F641" s="9"/>
    </row>
    <row r="642" spans="1:6" ht="15" customHeight="1" x14ac:dyDescent="0.2">
      <c r="A642" s="3" t="s">
        <v>2014</v>
      </c>
      <c r="B642" s="3" t="s">
        <v>2015</v>
      </c>
      <c r="C642" s="3" t="s">
        <v>862</v>
      </c>
      <c r="D642" s="2"/>
      <c r="E642" s="2"/>
      <c r="F642" s="3"/>
    </row>
    <row r="643" spans="1:6" ht="15" customHeight="1" x14ac:dyDescent="0.2">
      <c r="A643" s="9" t="s">
        <v>2016</v>
      </c>
      <c r="B643" s="9" t="s">
        <v>1592</v>
      </c>
      <c r="C643" s="9" t="s">
        <v>862</v>
      </c>
      <c r="D643" s="8"/>
      <c r="E643" s="8"/>
      <c r="F643" s="9"/>
    </row>
    <row r="644" spans="1:6" ht="15" customHeight="1" x14ac:dyDescent="0.2">
      <c r="A644" s="3" t="s">
        <v>2017</v>
      </c>
      <c r="B644" s="3" t="s">
        <v>2018</v>
      </c>
      <c r="C644" s="3" t="s">
        <v>862</v>
      </c>
      <c r="D644" s="2"/>
      <c r="E644" s="2"/>
      <c r="F644" s="3"/>
    </row>
    <row r="645" spans="1:6" ht="15" customHeight="1" x14ac:dyDescent="0.2">
      <c r="A645" s="9" t="s">
        <v>2019</v>
      </c>
      <c r="B645" s="9" t="s">
        <v>1711</v>
      </c>
      <c r="C645" s="9" t="s">
        <v>862</v>
      </c>
      <c r="D645" s="8"/>
      <c r="E645" s="8"/>
      <c r="F645" s="9"/>
    </row>
    <row r="646" spans="1:6" ht="15" customHeight="1" x14ac:dyDescent="0.2">
      <c r="A646" s="3" t="s">
        <v>2020</v>
      </c>
      <c r="B646" s="3" t="s">
        <v>2021</v>
      </c>
      <c r="C646" s="3" t="s">
        <v>862</v>
      </c>
      <c r="D646" s="2"/>
      <c r="E646" s="2"/>
      <c r="F646" s="3"/>
    </row>
    <row r="647" spans="1:6" ht="15" customHeight="1" x14ac:dyDescent="0.2">
      <c r="A647" s="9" t="s">
        <v>2022</v>
      </c>
      <c r="B647" s="9" t="s">
        <v>2023</v>
      </c>
      <c r="C647" s="9" t="s">
        <v>862</v>
      </c>
      <c r="D647" s="8"/>
      <c r="E647" s="8"/>
      <c r="F647" s="9"/>
    </row>
    <row r="648" spans="1:6" ht="15" customHeight="1" x14ac:dyDescent="0.2">
      <c r="A648" s="3" t="s">
        <v>2024</v>
      </c>
      <c r="B648" s="3" t="s">
        <v>2025</v>
      </c>
      <c r="C648" s="3" t="s">
        <v>862</v>
      </c>
      <c r="D648" s="2"/>
      <c r="E648" s="2"/>
      <c r="F648" s="3"/>
    </row>
    <row r="649" spans="1:6" ht="15" customHeight="1" x14ac:dyDescent="0.2">
      <c r="A649" s="9" t="s">
        <v>2026</v>
      </c>
      <c r="B649" s="9" t="s">
        <v>2027</v>
      </c>
      <c r="C649" s="9" t="s">
        <v>862</v>
      </c>
      <c r="D649" s="8"/>
      <c r="E649" s="8"/>
      <c r="F649" s="9"/>
    </row>
    <row r="650" spans="1:6" ht="15" customHeight="1" x14ac:dyDescent="0.2">
      <c r="A650" s="3" t="s">
        <v>2028</v>
      </c>
      <c r="B650" s="3" t="s">
        <v>2029</v>
      </c>
      <c r="C650" s="3" t="s">
        <v>862</v>
      </c>
      <c r="D650" s="2"/>
      <c r="E650" s="2"/>
      <c r="F650" s="3"/>
    </row>
    <row r="651" spans="1:6" ht="15" customHeight="1" x14ac:dyDescent="0.2">
      <c r="A651" s="9" t="s">
        <v>2030</v>
      </c>
      <c r="B651" s="9" t="s">
        <v>2031</v>
      </c>
      <c r="C651" s="9" t="s">
        <v>862</v>
      </c>
      <c r="D651" s="8"/>
      <c r="E651" s="8"/>
      <c r="F651" s="9"/>
    </row>
    <row r="652" spans="1:6" ht="15" customHeight="1" x14ac:dyDescent="0.2">
      <c r="A652" s="3" t="s">
        <v>2032</v>
      </c>
      <c r="B652" s="3" t="s">
        <v>2033</v>
      </c>
      <c r="C652" s="3" t="s">
        <v>862</v>
      </c>
      <c r="D652" s="2"/>
      <c r="E652" s="2"/>
      <c r="F652" s="3"/>
    </row>
    <row r="653" spans="1:6" ht="15" customHeight="1" x14ac:dyDescent="0.2">
      <c r="A653" s="9" t="s">
        <v>2034</v>
      </c>
      <c r="B653" s="9" t="s">
        <v>2035</v>
      </c>
      <c r="C653" s="9" t="s">
        <v>862</v>
      </c>
      <c r="D653" s="8"/>
      <c r="E653" s="8"/>
      <c r="F653" s="9"/>
    </row>
    <row r="654" spans="1:6" ht="15" customHeight="1" x14ac:dyDescent="0.2">
      <c r="A654" s="3" t="s">
        <v>2036</v>
      </c>
      <c r="B654" s="3" t="s">
        <v>2037</v>
      </c>
      <c r="C654" s="3" t="s">
        <v>862</v>
      </c>
      <c r="D654" s="2"/>
      <c r="E654" s="2"/>
      <c r="F654" s="3"/>
    </row>
    <row r="655" spans="1:6" ht="15" customHeight="1" x14ac:dyDescent="0.2">
      <c r="A655" s="9" t="s">
        <v>2038</v>
      </c>
      <c r="B655" s="9" t="s">
        <v>2039</v>
      </c>
      <c r="C655" s="9" t="s">
        <v>862</v>
      </c>
      <c r="D655" s="8"/>
      <c r="E655" s="8"/>
      <c r="F655" s="9"/>
    </row>
    <row r="656" spans="1:6" ht="15" customHeight="1" x14ac:dyDescent="0.2">
      <c r="A656" s="3" t="s">
        <v>2040</v>
      </c>
      <c r="B656" s="3" t="s">
        <v>1254</v>
      </c>
      <c r="C656" s="3" t="s">
        <v>862</v>
      </c>
      <c r="D656" s="2"/>
      <c r="E656" s="2"/>
      <c r="F656" s="3"/>
    </row>
    <row r="657" spans="1:6" ht="15" customHeight="1" x14ac:dyDescent="0.2">
      <c r="A657" s="9" t="s">
        <v>2041</v>
      </c>
      <c r="B657" s="9" t="s">
        <v>2042</v>
      </c>
      <c r="C657" s="9" t="s">
        <v>862</v>
      </c>
      <c r="D657" s="8"/>
      <c r="E657" s="8"/>
      <c r="F657" s="9"/>
    </row>
    <row r="658" spans="1:6" ht="15" customHeight="1" x14ac:dyDescent="0.2">
      <c r="A658" s="3" t="s">
        <v>2043</v>
      </c>
      <c r="B658" s="3" t="s">
        <v>1862</v>
      </c>
      <c r="C658" s="3" t="s">
        <v>862</v>
      </c>
      <c r="D658" s="2"/>
      <c r="E658" s="2"/>
      <c r="F658" s="3"/>
    </row>
    <row r="659" spans="1:6" ht="15" customHeight="1" x14ac:dyDescent="0.2">
      <c r="A659" s="9" t="s">
        <v>2044</v>
      </c>
      <c r="B659" s="9" t="s">
        <v>1904</v>
      </c>
      <c r="C659" s="9" t="s">
        <v>862</v>
      </c>
      <c r="D659" s="8"/>
      <c r="E659" s="8"/>
      <c r="F659" s="9"/>
    </row>
    <row r="660" spans="1:6" ht="15" customHeight="1" x14ac:dyDescent="0.2">
      <c r="A660" s="3" t="s">
        <v>2045</v>
      </c>
      <c r="B660" s="3" t="s">
        <v>2046</v>
      </c>
      <c r="C660" s="3" t="s">
        <v>862</v>
      </c>
      <c r="D660" s="2"/>
      <c r="E660" s="2"/>
      <c r="F660" s="3"/>
    </row>
    <row r="661" spans="1:6" ht="15" customHeight="1" x14ac:dyDescent="0.2">
      <c r="A661" s="9" t="s">
        <v>2047</v>
      </c>
      <c r="B661" s="9" t="s">
        <v>2048</v>
      </c>
      <c r="C661" s="9" t="s">
        <v>862</v>
      </c>
      <c r="D661" s="8"/>
      <c r="E661" s="8"/>
      <c r="F661" s="9"/>
    </row>
    <row r="662" spans="1:6" ht="15" customHeight="1" x14ac:dyDescent="0.2">
      <c r="A662" s="3" t="s">
        <v>2049</v>
      </c>
      <c r="B662" s="3" t="s">
        <v>2050</v>
      </c>
      <c r="C662" s="3" t="s">
        <v>862</v>
      </c>
      <c r="D662" s="2"/>
      <c r="E662" s="2"/>
      <c r="F662" s="3"/>
    </row>
    <row r="663" spans="1:6" ht="15" customHeight="1" x14ac:dyDescent="0.2">
      <c r="A663" s="9" t="s">
        <v>2051</v>
      </c>
      <c r="B663" s="9" t="s">
        <v>2052</v>
      </c>
      <c r="C663" s="9" t="s">
        <v>862</v>
      </c>
      <c r="D663" s="8"/>
      <c r="E663" s="8"/>
      <c r="F663" s="9"/>
    </row>
    <row r="664" spans="1:6" ht="15" customHeight="1" x14ac:dyDescent="0.2">
      <c r="A664" s="3" t="s">
        <v>2053</v>
      </c>
      <c r="B664" s="3" t="s">
        <v>2054</v>
      </c>
      <c r="C664" s="3" t="s">
        <v>862</v>
      </c>
      <c r="D664" s="2"/>
      <c r="E664" s="2"/>
      <c r="F664" s="3"/>
    </row>
    <row r="665" spans="1:6" ht="15" customHeight="1" x14ac:dyDescent="0.2">
      <c r="A665" s="9" t="s">
        <v>2055</v>
      </c>
      <c r="B665" s="9" t="s">
        <v>1331</v>
      </c>
      <c r="C665" s="9" t="s">
        <v>862</v>
      </c>
      <c r="D665" s="8"/>
      <c r="E665" s="8"/>
      <c r="F665" s="9"/>
    </row>
    <row r="666" spans="1:6" ht="15" customHeight="1" x14ac:dyDescent="0.2">
      <c r="A666" s="3" t="s">
        <v>2056</v>
      </c>
      <c r="B666" s="3" t="s">
        <v>1965</v>
      </c>
      <c r="C666" s="3" t="s">
        <v>862</v>
      </c>
      <c r="D666" s="2"/>
      <c r="E666" s="2"/>
      <c r="F666" s="3"/>
    </row>
    <row r="667" spans="1:6" ht="15" customHeight="1" x14ac:dyDescent="0.2">
      <c r="A667" s="9" t="s">
        <v>2057</v>
      </c>
      <c r="B667" s="9" t="s">
        <v>2058</v>
      </c>
      <c r="C667" s="9" t="s">
        <v>862</v>
      </c>
      <c r="D667" s="8"/>
      <c r="E667" s="8"/>
      <c r="F667" s="9"/>
    </row>
    <row r="668" spans="1:6" ht="15" customHeight="1" x14ac:dyDescent="0.2">
      <c r="A668" s="3" t="s">
        <v>2059</v>
      </c>
      <c r="B668" s="3" t="s">
        <v>2015</v>
      </c>
      <c r="C668" s="3" t="s">
        <v>862</v>
      </c>
      <c r="D668" s="2"/>
      <c r="E668" s="2"/>
      <c r="F668" s="3"/>
    </row>
    <row r="669" spans="1:6" ht="15" customHeight="1" x14ac:dyDescent="0.2">
      <c r="A669" s="9" t="s">
        <v>2060</v>
      </c>
      <c r="B669" s="9" t="s">
        <v>2061</v>
      </c>
      <c r="C669" s="9" t="s">
        <v>862</v>
      </c>
      <c r="D669" s="8"/>
      <c r="E669" s="8"/>
      <c r="F669" s="9"/>
    </row>
    <row r="670" spans="1:6" ht="15" customHeight="1" x14ac:dyDescent="0.2">
      <c r="A670" s="3" t="s">
        <v>2062</v>
      </c>
      <c r="B670" s="3" t="s">
        <v>2063</v>
      </c>
      <c r="C670" s="3" t="s">
        <v>862</v>
      </c>
      <c r="D670" s="2"/>
      <c r="E670" s="2"/>
      <c r="F670" s="3"/>
    </row>
    <row r="671" spans="1:6" ht="15" customHeight="1" x14ac:dyDescent="0.2">
      <c r="A671" s="9" t="s">
        <v>2064</v>
      </c>
      <c r="B671" s="9" t="s">
        <v>2065</v>
      </c>
      <c r="C671" s="9" t="s">
        <v>862</v>
      </c>
      <c r="D671" s="8"/>
      <c r="E671" s="8"/>
      <c r="F671" s="9"/>
    </row>
    <row r="672" spans="1:6" ht="15" customHeight="1" x14ac:dyDescent="0.2">
      <c r="A672" s="3" t="s">
        <v>2066</v>
      </c>
      <c r="B672" s="3" t="s">
        <v>2067</v>
      </c>
      <c r="C672" s="3" t="s">
        <v>862</v>
      </c>
      <c r="D672" s="2"/>
      <c r="E672" s="2"/>
      <c r="F672" s="3"/>
    </row>
    <row r="673" spans="1:6" ht="15" customHeight="1" x14ac:dyDescent="0.2">
      <c r="A673" s="9" t="s">
        <v>2068</v>
      </c>
      <c r="B673" s="9" t="s">
        <v>2069</v>
      </c>
      <c r="C673" s="9" t="s">
        <v>862</v>
      </c>
      <c r="D673" s="8"/>
      <c r="E673" s="8"/>
      <c r="F673" s="9"/>
    </row>
    <row r="674" spans="1:6" ht="15" customHeight="1" x14ac:dyDescent="0.2">
      <c r="A674" s="3" t="s">
        <v>2070</v>
      </c>
      <c r="B674" s="3" t="s">
        <v>2071</v>
      </c>
      <c r="C674" s="3" t="s">
        <v>862</v>
      </c>
      <c r="D674" s="2"/>
      <c r="E674" s="2"/>
      <c r="F674" s="3"/>
    </row>
    <row r="675" spans="1:6" ht="15" customHeight="1" x14ac:dyDescent="0.2">
      <c r="A675" s="9" t="s">
        <v>2072</v>
      </c>
      <c r="B675" s="9" t="s">
        <v>1654</v>
      </c>
      <c r="C675" s="9" t="s">
        <v>862</v>
      </c>
      <c r="D675" s="8"/>
      <c r="E675" s="8"/>
      <c r="F675" s="9"/>
    </row>
    <row r="676" spans="1:6" ht="15" customHeight="1" x14ac:dyDescent="0.2">
      <c r="A676" s="3" t="s">
        <v>2073</v>
      </c>
      <c r="B676" s="3" t="s">
        <v>1910</v>
      </c>
      <c r="C676" s="3" t="s">
        <v>862</v>
      </c>
      <c r="D676" s="2"/>
      <c r="E676" s="2"/>
      <c r="F676" s="3"/>
    </row>
    <row r="677" spans="1:6" ht="15" customHeight="1" x14ac:dyDescent="0.2">
      <c r="A677" s="9" t="s">
        <v>2074</v>
      </c>
      <c r="B677" s="9" t="s">
        <v>2075</v>
      </c>
      <c r="C677" s="9" t="s">
        <v>862</v>
      </c>
      <c r="D677" s="8"/>
      <c r="E677" s="8"/>
      <c r="F677" s="9"/>
    </row>
    <row r="678" spans="1:6" ht="15" customHeight="1" x14ac:dyDescent="0.2">
      <c r="A678" s="3" t="s">
        <v>2076</v>
      </c>
      <c r="B678" s="3" t="s">
        <v>2077</v>
      </c>
      <c r="C678" s="3" t="s">
        <v>862</v>
      </c>
      <c r="D678" s="2"/>
      <c r="E678" s="2"/>
      <c r="F678" s="3"/>
    </row>
    <row r="679" spans="1:6" ht="15" customHeight="1" x14ac:dyDescent="0.2">
      <c r="A679" s="9" t="s">
        <v>2078</v>
      </c>
      <c r="B679" s="9" t="s">
        <v>2079</v>
      </c>
      <c r="C679" s="9" t="s">
        <v>862</v>
      </c>
      <c r="D679" s="8"/>
      <c r="E679" s="8"/>
      <c r="F679" s="9"/>
    </row>
    <row r="680" spans="1:6" ht="15" customHeight="1" x14ac:dyDescent="0.2">
      <c r="A680" s="3" t="s">
        <v>2080</v>
      </c>
      <c r="B680" s="3" t="s">
        <v>2001</v>
      </c>
      <c r="C680" s="3" t="s">
        <v>862</v>
      </c>
      <c r="D680" s="2"/>
      <c r="E680" s="2"/>
      <c r="F680" s="3"/>
    </row>
    <row r="681" spans="1:6" ht="15" customHeight="1" x14ac:dyDescent="0.2">
      <c r="A681" s="9" t="s">
        <v>2081</v>
      </c>
      <c r="B681" s="9" t="s">
        <v>2082</v>
      </c>
      <c r="C681" s="9" t="s">
        <v>862</v>
      </c>
      <c r="D681" s="8"/>
      <c r="E681" s="8"/>
      <c r="F681" s="9"/>
    </row>
    <row r="682" spans="1:6" ht="15" customHeight="1" x14ac:dyDescent="0.2">
      <c r="A682" s="3" t="s">
        <v>2083</v>
      </c>
      <c r="B682" s="3" t="s">
        <v>1300</v>
      </c>
      <c r="C682" s="3" t="s">
        <v>862</v>
      </c>
      <c r="D682" s="2"/>
      <c r="E682" s="2"/>
      <c r="F682" s="3"/>
    </row>
    <row r="683" spans="1:6" ht="15" customHeight="1" x14ac:dyDescent="0.2">
      <c r="A683" s="9" t="s">
        <v>2084</v>
      </c>
      <c r="B683" s="9" t="s">
        <v>2085</v>
      </c>
      <c r="C683" s="9" t="s">
        <v>862</v>
      </c>
      <c r="D683" s="8"/>
      <c r="E683" s="8"/>
      <c r="F683" s="9"/>
    </row>
    <row r="684" spans="1:6" ht="15" customHeight="1" x14ac:dyDescent="0.2">
      <c r="A684" s="3" t="s">
        <v>2086</v>
      </c>
      <c r="B684" s="3" t="s">
        <v>2087</v>
      </c>
      <c r="C684" s="3" t="s">
        <v>862</v>
      </c>
      <c r="D684" s="2"/>
      <c r="E684" s="2"/>
      <c r="F684" s="3"/>
    </row>
    <row r="685" spans="1:6" ht="15" customHeight="1" x14ac:dyDescent="0.2">
      <c r="A685" s="9" t="s">
        <v>2088</v>
      </c>
      <c r="B685" s="9" t="s">
        <v>2089</v>
      </c>
      <c r="C685" s="9" t="s">
        <v>862</v>
      </c>
      <c r="D685" s="8"/>
      <c r="E685" s="8"/>
      <c r="F685" s="9"/>
    </row>
    <row r="686" spans="1:6" ht="15" customHeight="1" x14ac:dyDescent="0.2">
      <c r="A686" s="3" t="s">
        <v>2090</v>
      </c>
      <c r="B686" s="3" t="s">
        <v>1867</v>
      </c>
      <c r="C686" s="3" t="s">
        <v>862</v>
      </c>
      <c r="D686" s="2"/>
      <c r="E686" s="2"/>
      <c r="F686" s="3"/>
    </row>
    <row r="687" spans="1:6" ht="15" customHeight="1" x14ac:dyDescent="0.2">
      <c r="A687" s="9" t="s">
        <v>2091</v>
      </c>
      <c r="B687" s="9" t="s">
        <v>1921</v>
      </c>
      <c r="C687" s="9" t="s">
        <v>862</v>
      </c>
      <c r="D687" s="8"/>
      <c r="E687" s="8"/>
      <c r="F687" s="9"/>
    </row>
    <row r="688" spans="1:6" ht="15" customHeight="1" x14ac:dyDescent="0.2">
      <c r="A688" s="3" t="s">
        <v>2092</v>
      </c>
      <c r="B688" s="3" t="s">
        <v>1252</v>
      </c>
      <c r="C688" s="3" t="s">
        <v>862</v>
      </c>
      <c r="D688" s="2"/>
      <c r="E688" s="2"/>
      <c r="F688" s="3"/>
    </row>
    <row r="689" spans="1:6" ht="15" customHeight="1" x14ac:dyDescent="0.2">
      <c r="A689" s="9" t="s">
        <v>2093</v>
      </c>
      <c r="B689" s="9" t="s">
        <v>2094</v>
      </c>
      <c r="C689" s="9" t="s">
        <v>862</v>
      </c>
      <c r="D689" s="8"/>
      <c r="E689" s="8"/>
      <c r="F689" s="9"/>
    </row>
    <row r="690" spans="1:6" ht="15" customHeight="1" x14ac:dyDescent="0.2">
      <c r="A690" s="3" t="s">
        <v>2095</v>
      </c>
      <c r="B690" s="3" t="s">
        <v>2096</v>
      </c>
      <c r="C690" s="3" t="s">
        <v>862</v>
      </c>
      <c r="D690" s="2"/>
      <c r="E690" s="2"/>
      <c r="F690" s="3"/>
    </row>
    <row r="691" spans="1:6" ht="15" customHeight="1" x14ac:dyDescent="0.2">
      <c r="A691" s="9" t="s">
        <v>2097</v>
      </c>
      <c r="B691" s="9" t="s">
        <v>2098</v>
      </c>
      <c r="C691" s="9" t="s">
        <v>862</v>
      </c>
      <c r="D691" s="8"/>
      <c r="E691" s="8"/>
      <c r="F691" s="9"/>
    </row>
    <row r="692" spans="1:6" ht="15" customHeight="1" x14ac:dyDescent="0.2">
      <c r="A692" s="3" t="s">
        <v>2099</v>
      </c>
      <c r="B692" s="3" t="s">
        <v>1552</v>
      </c>
      <c r="C692" s="3" t="s">
        <v>862</v>
      </c>
      <c r="D692" s="2"/>
      <c r="E692" s="2"/>
      <c r="F692" s="3"/>
    </row>
    <row r="693" spans="1:6" ht="15" customHeight="1" x14ac:dyDescent="0.2">
      <c r="A693" s="9" t="s">
        <v>2100</v>
      </c>
      <c r="B693" s="9" t="s">
        <v>1899</v>
      </c>
      <c r="C693" s="9" t="s">
        <v>862</v>
      </c>
      <c r="D693" s="8"/>
      <c r="E693" s="8"/>
      <c r="F693" s="9"/>
    </row>
    <row r="694" spans="1:6" ht="15" customHeight="1" x14ac:dyDescent="0.2">
      <c r="A694" s="3" t="s">
        <v>2101</v>
      </c>
      <c r="B694" s="3" t="s">
        <v>2102</v>
      </c>
      <c r="C694" s="3" t="s">
        <v>862</v>
      </c>
      <c r="D694" s="2"/>
      <c r="E694" s="2"/>
      <c r="F694" s="3"/>
    </row>
    <row r="695" spans="1:6" ht="15" customHeight="1" x14ac:dyDescent="0.2">
      <c r="A695" s="9" t="s">
        <v>2103</v>
      </c>
      <c r="B695" s="9" t="s">
        <v>1254</v>
      </c>
      <c r="C695" s="9" t="s">
        <v>862</v>
      </c>
      <c r="D695" s="8"/>
      <c r="E695" s="8"/>
      <c r="F695" s="9"/>
    </row>
    <row r="696" spans="1:6" ht="15" customHeight="1" x14ac:dyDescent="0.2">
      <c r="A696" s="3" t="s">
        <v>2104</v>
      </c>
      <c r="B696" s="3" t="s">
        <v>2031</v>
      </c>
      <c r="C696" s="3" t="s">
        <v>862</v>
      </c>
      <c r="D696" s="2"/>
      <c r="E696" s="2"/>
      <c r="F696" s="3"/>
    </row>
    <row r="697" spans="1:6" ht="15" customHeight="1" x14ac:dyDescent="0.2">
      <c r="A697" s="9" t="s">
        <v>2105</v>
      </c>
      <c r="B697" s="9" t="s">
        <v>2106</v>
      </c>
      <c r="C697" s="9" t="s">
        <v>862</v>
      </c>
      <c r="D697" s="8"/>
      <c r="E697" s="8"/>
      <c r="F697" s="9"/>
    </row>
    <row r="698" spans="1:6" ht="15" customHeight="1" x14ac:dyDescent="0.2">
      <c r="A698" s="3" t="s">
        <v>2107</v>
      </c>
      <c r="B698" s="3" t="s">
        <v>2108</v>
      </c>
      <c r="C698" s="3" t="s">
        <v>862</v>
      </c>
      <c r="D698" s="2"/>
      <c r="E698" s="2"/>
      <c r="F698" s="3"/>
    </row>
    <row r="699" spans="1:6" ht="15" customHeight="1" x14ac:dyDescent="0.2">
      <c r="A699" s="9" t="s">
        <v>2109</v>
      </c>
      <c r="B699" s="9" t="s">
        <v>2054</v>
      </c>
      <c r="C699" s="9" t="s">
        <v>862</v>
      </c>
      <c r="D699" s="8"/>
      <c r="E699" s="8"/>
      <c r="F699" s="9"/>
    </row>
    <row r="700" spans="1:6" ht="15" customHeight="1" x14ac:dyDescent="0.2">
      <c r="A700" s="3" t="s">
        <v>2110</v>
      </c>
      <c r="B700" s="3" t="s">
        <v>1367</v>
      </c>
      <c r="C700" s="3" t="s">
        <v>862</v>
      </c>
      <c r="D700" s="2"/>
      <c r="E700" s="2"/>
      <c r="F700" s="3"/>
    </row>
    <row r="701" spans="1:6" ht="15" customHeight="1" x14ac:dyDescent="0.2">
      <c r="A701" s="9" t="s">
        <v>2111</v>
      </c>
      <c r="B701" s="9" t="s">
        <v>2112</v>
      </c>
      <c r="C701" s="9" t="s">
        <v>862</v>
      </c>
      <c r="D701" s="8"/>
      <c r="E701" s="8"/>
      <c r="F701" s="9"/>
    </row>
    <row r="702" spans="1:6" ht="15" customHeight="1" x14ac:dyDescent="0.2">
      <c r="A702" s="3" t="s">
        <v>2113</v>
      </c>
      <c r="B702" s="3" t="s">
        <v>2114</v>
      </c>
      <c r="C702" s="3" t="s">
        <v>862</v>
      </c>
      <c r="D702" s="2"/>
      <c r="E702" s="2"/>
      <c r="F702" s="3"/>
    </row>
    <row r="703" spans="1:6" ht="15" customHeight="1" x14ac:dyDescent="0.2">
      <c r="A703" s="9" t="s">
        <v>2115</v>
      </c>
      <c r="B703" s="9" t="s">
        <v>2116</v>
      </c>
      <c r="C703" s="9" t="s">
        <v>862</v>
      </c>
      <c r="D703" s="8"/>
      <c r="E703" s="8"/>
      <c r="F703" s="9"/>
    </row>
    <row r="704" spans="1:6" ht="15" customHeight="1" x14ac:dyDescent="0.2">
      <c r="A704" s="3" t="s">
        <v>2117</v>
      </c>
      <c r="B704" s="3" t="s">
        <v>1587</v>
      </c>
      <c r="C704" s="3" t="s">
        <v>862</v>
      </c>
      <c r="D704" s="2"/>
      <c r="E704" s="2"/>
      <c r="F704" s="3"/>
    </row>
    <row r="705" spans="1:6" ht="15" customHeight="1" x14ac:dyDescent="0.2">
      <c r="A705" s="9" t="s">
        <v>2118</v>
      </c>
      <c r="B705" s="9" t="s">
        <v>2119</v>
      </c>
      <c r="C705" s="9" t="s">
        <v>862</v>
      </c>
      <c r="D705" s="8"/>
      <c r="E705" s="8"/>
      <c r="F705" s="9"/>
    </row>
    <row r="706" spans="1:6" ht="15" customHeight="1" x14ac:dyDescent="0.2">
      <c r="A706" s="3" t="s">
        <v>2120</v>
      </c>
      <c r="B706" s="3" t="s">
        <v>2121</v>
      </c>
      <c r="C706" s="3" t="s">
        <v>862</v>
      </c>
      <c r="D706" s="2"/>
      <c r="E706" s="2"/>
      <c r="F706" s="3"/>
    </row>
    <row r="707" spans="1:6" ht="15" customHeight="1" x14ac:dyDescent="0.2">
      <c r="A707" s="9" t="s">
        <v>2122</v>
      </c>
      <c r="B707" s="9" t="s">
        <v>2123</v>
      </c>
      <c r="C707" s="9" t="s">
        <v>862</v>
      </c>
      <c r="D707" s="8"/>
      <c r="E707" s="8"/>
      <c r="F707" s="9"/>
    </row>
    <row r="708" spans="1:6" ht="15" customHeight="1" x14ac:dyDescent="0.2">
      <c r="A708" s="3" t="s">
        <v>2124</v>
      </c>
      <c r="B708" s="3" t="s">
        <v>2125</v>
      </c>
      <c r="C708" s="3" t="s">
        <v>862</v>
      </c>
      <c r="D708" s="2"/>
      <c r="E708" s="2"/>
      <c r="F708" s="3"/>
    </row>
    <row r="709" spans="1:6" ht="15" customHeight="1" x14ac:dyDescent="0.2">
      <c r="A709" s="9" t="s">
        <v>2126</v>
      </c>
      <c r="B709" s="9" t="s">
        <v>2127</v>
      </c>
      <c r="C709" s="9" t="s">
        <v>862</v>
      </c>
      <c r="D709" s="8"/>
      <c r="E709" s="8"/>
      <c r="F709" s="9"/>
    </row>
    <row r="710" spans="1:6" ht="15" customHeight="1" x14ac:dyDescent="0.2">
      <c r="A710" s="3" t="s">
        <v>2128</v>
      </c>
      <c r="B710" s="3" t="s">
        <v>2129</v>
      </c>
      <c r="C710" s="3" t="s">
        <v>862</v>
      </c>
      <c r="D710" s="2"/>
      <c r="E710" s="2"/>
      <c r="F710" s="3"/>
    </row>
    <row r="711" spans="1:6" ht="15" customHeight="1" x14ac:dyDescent="0.2">
      <c r="A711" s="9" t="s">
        <v>2130</v>
      </c>
      <c r="B711" s="9" t="s">
        <v>2131</v>
      </c>
      <c r="C711" s="9" t="s">
        <v>862</v>
      </c>
      <c r="D711" s="8"/>
      <c r="E711" s="8"/>
      <c r="F711" s="9"/>
    </row>
    <row r="712" spans="1:6" ht="15" customHeight="1" x14ac:dyDescent="0.2">
      <c r="A712" s="3" t="s">
        <v>2132</v>
      </c>
      <c r="B712" s="3" t="s">
        <v>2023</v>
      </c>
      <c r="C712" s="3" t="s">
        <v>862</v>
      </c>
      <c r="D712" s="2"/>
      <c r="E712" s="2"/>
      <c r="F712" s="3"/>
    </row>
    <row r="713" spans="1:6" ht="15" customHeight="1" x14ac:dyDescent="0.2">
      <c r="A713" s="9" t="s">
        <v>2133</v>
      </c>
      <c r="B713" s="9" t="s">
        <v>2134</v>
      </c>
      <c r="C713" s="9" t="s">
        <v>862</v>
      </c>
      <c r="D713" s="8"/>
      <c r="E713" s="8"/>
      <c r="F713" s="9"/>
    </row>
    <row r="714" spans="1:6" ht="15" customHeight="1" x14ac:dyDescent="0.2">
      <c r="A714" s="3" t="s">
        <v>2135</v>
      </c>
      <c r="B714" s="3" t="s">
        <v>2136</v>
      </c>
      <c r="C714" s="3" t="s">
        <v>862</v>
      </c>
      <c r="D714" s="2"/>
      <c r="E714" s="2"/>
      <c r="F714" s="3"/>
    </row>
    <row r="715" spans="1:6" ht="15" customHeight="1" x14ac:dyDescent="0.2">
      <c r="A715" s="9" t="s">
        <v>2137</v>
      </c>
      <c r="B715" s="9" t="s">
        <v>2096</v>
      </c>
      <c r="C715" s="9" t="s">
        <v>862</v>
      </c>
      <c r="D715" s="8"/>
      <c r="E715" s="8"/>
      <c r="F715" s="9"/>
    </row>
    <row r="716" spans="1:6" ht="15" customHeight="1" x14ac:dyDescent="0.2">
      <c r="A716" s="3" t="s">
        <v>2138</v>
      </c>
      <c r="B716" s="3" t="s">
        <v>2139</v>
      </c>
      <c r="C716" s="3" t="s">
        <v>862</v>
      </c>
      <c r="D716" s="2"/>
      <c r="E716" s="2"/>
      <c r="F716" s="3"/>
    </row>
    <row r="717" spans="1:6" ht="15" customHeight="1" x14ac:dyDescent="0.2">
      <c r="A717" s="9" t="s">
        <v>2140</v>
      </c>
      <c r="B717" s="9" t="s">
        <v>2141</v>
      </c>
      <c r="C717" s="9" t="s">
        <v>862</v>
      </c>
      <c r="D717" s="8"/>
      <c r="E717" s="8"/>
      <c r="F717" s="9"/>
    </row>
    <row r="718" spans="1:6" ht="15" customHeight="1" x14ac:dyDescent="0.2">
      <c r="A718" s="3" t="s">
        <v>2142</v>
      </c>
      <c r="B718" s="3" t="s">
        <v>2143</v>
      </c>
      <c r="C718" s="3" t="s">
        <v>862</v>
      </c>
      <c r="D718" s="2"/>
      <c r="E718" s="2"/>
      <c r="F718" s="3"/>
    </row>
    <row r="719" spans="1:6" ht="15" customHeight="1" x14ac:dyDescent="0.2">
      <c r="A719" s="9" t="s">
        <v>2144</v>
      </c>
      <c r="B719" s="9" t="s">
        <v>2067</v>
      </c>
      <c r="C719" s="9" t="s">
        <v>862</v>
      </c>
      <c r="D719" s="8"/>
      <c r="E719" s="8"/>
      <c r="F719" s="9"/>
    </row>
    <row r="720" spans="1:6" ht="15" customHeight="1" x14ac:dyDescent="0.2">
      <c r="A720" s="3" t="s">
        <v>2145</v>
      </c>
      <c r="B720" s="3" t="s">
        <v>2146</v>
      </c>
      <c r="C720" s="3" t="s">
        <v>862</v>
      </c>
      <c r="D720" s="2"/>
      <c r="E720" s="2"/>
      <c r="F720" s="3"/>
    </row>
    <row r="721" spans="1:6" ht="15" customHeight="1" x14ac:dyDescent="0.2">
      <c r="A721" s="9" t="s">
        <v>2147</v>
      </c>
      <c r="B721" s="9" t="s">
        <v>2148</v>
      </c>
      <c r="C721" s="9" t="s">
        <v>862</v>
      </c>
      <c r="D721" s="8"/>
      <c r="E721" s="8"/>
      <c r="F721" s="9"/>
    </row>
    <row r="722" spans="1:6" ht="15" customHeight="1" x14ac:dyDescent="0.2">
      <c r="A722" s="3" t="s">
        <v>2149</v>
      </c>
      <c r="B722" s="3" t="s">
        <v>2150</v>
      </c>
      <c r="C722" s="3" t="s">
        <v>862</v>
      </c>
      <c r="D722" s="2"/>
      <c r="E722" s="2"/>
      <c r="F722" s="3"/>
    </row>
    <row r="723" spans="1:6" ht="15" customHeight="1" x14ac:dyDescent="0.2">
      <c r="A723" s="9" t="s">
        <v>2151</v>
      </c>
      <c r="B723" s="9" t="s">
        <v>1421</v>
      </c>
      <c r="C723" s="9" t="s">
        <v>862</v>
      </c>
      <c r="D723" s="8"/>
      <c r="E723" s="8"/>
      <c r="F723" s="9"/>
    </row>
    <row r="724" spans="1:6" ht="15" customHeight="1" x14ac:dyDescent="0.2">
      <c r="A724" s="3" t="s">
        <v>2152</v>
      </c>
      <c r="B724" s="3" t="s">
        <v>1371</v>
      </c>
      <c r="C724" s="3" t="s">
        <v>862</v>
      </c>
      <c r="D724" s="2"/>
      <c r="E724" s="2"/>
      <c r="F724" s="3"/>
    </row>
    <row r="725" spans="1:6" ht="15" customHeight="1" x14ac:dyDescent="0.2">
      <c r="A725" s="9" t="s">
        <v>2153</v>
      </c>
      <c r="B725" s="9" t="s">
        <v>2154</v>
      </c>
      <c r="C725" s="9" t="s">
        <v>862</v>
      </c>
      <c r="D725" s="8"/>
      <c r="E725" s="8"/>
      <c r="F725" s="9"/>
    </row>
    <row r="726" spans="1:6" ht="15" customHeight="1" x14ac:dyDescent="0.2">
      <c r="A726" s="3" t="s">
        <v>2155</v>
      </c>
      <c r="B726" s="3" t="s">
        <v>1228</v>
      </c>
      <c r="C726" s="3" t="s">
        <v>862</v>
      </c>
      <c r="D726" s="2"/>
      <c r="E726" s="2"/>
      <c r="F726" s="3"/>
    </row>
    <row r="727" spans="1:6" ht="15" customHeight="1" x14ac:dyDescent="0.2">
      <c r="A727" s="9" t="s">
        <v>2156</v>
      </c>
      <c r="B727" s="9" t="s">
        <v>1505</v>
      </c>
      <c r="C727" s="9" t="s">
        <v>862</v>
      </c>
      <c r="D727" s="8"/>
      <c r="E727" s="8"/>
      <c r="F727" s="9"/>
    </row>
    <row r="728" spans="1:6" ht="15" customHeight="1" x14ac:dyDescent="0.2">
      <c r="A728" s="3" t="s">
        <v>2157</v>
      </c>
      <c r="B728" s="3" t="s">
        <v>2158</v>
      </c>
      <c r="C728" s="3" t="s">
        <v>862</v>
      </c>
      <c r="D728" s="2"/>
      <c r="E728" s="2"/>
      <c r="F728" s="3"/>
    </row>
    <row r="729" spans="1:6" ht="15" customHeight="1" x14ac:dyDescent="0.2">
      <c r="A729" s="9" t="s">
        <v>2159</v>
      </c>
      <c r="B729" s="9" t="s">
        <v>1899</v>
      </c>
      <c r="C729" s="9" t="s">
        <v>862</v>
      </c>
      <c r="D729" s="8"/>
      <c r="E729" s="8"/>
      <c r="F729" s="9"/>
    </row>
    <row r="730" spans="1:6" ht="15" customHeight="1" x14ac:dyDescent="0.2">
      <c r="A730" s="3" t="s">
        <v>2160</v>
      </c>
      <c r="B730" s="3" t="s">
        <v>1539</v>
      </c>
      <c r="C730" s="3" t="s">
        <v>862</v>
      </c>
      <c r="D730" s="2"/>
      <c r="E730" s="2"/>
      <c r="F730" s="3"/>
    </row>
    <row r="731" spans="1:6" ht="15" customHeight="1" x14ac:dyDescent="0.2">
      <c r="A731" s="9" t="s">
        <v>2161</v>
      </c>
      <c r="B731" s="9" t="s">
        <v>1262</v>
      </c>
      <c r="C731" s="9" t="s">
        <v>862</v>
      </c>
      <c r="D731" s="8"/>
      <c r="E731" s="8"/>
      <c r="F731" s="9"/>
    </row>
    <row r="732" spans="1:6" ht="15" customHeight="1" x14ac:dyDescent="0.2">
      <c r="A732" s="3" t="s">
        <v>2162</v>
      </c>
      <c r="B732" s="3" t="s">
        <v>1232</v>
      </c>
      <c r="C732" s="3" t="s">
        <v>862</v>
      </c>
      <c r="D732" s="2"/>
      <c r="E732" s="2"/>
      <c r="F732" s="3"/>
    </row>
    <row r="733" spans="1:6" ht="15" customHeight="1" x14ac:dyDescent="0.2">
      <c r="A733" s="9" t="s">
        <v>2163</v>
      </c>
      <c r="B733" s="9" t="s">
        <v>1258</v>
      </c>
      <c r="C733" s="9" t="s">
        <v>862</v>
      </c>
      <c r="D733" s="8"/>
      <c r="E733" s="8"/>
      <c r="F733" s="9"/>
    </row>
    <row r="734" spans="1:6" ht="15" customHeight="1" x14ac:dyDescent="0.2">
      <c r="A734" s="3" t="s">
        <v>2164</v>
      </c>
      <c r="B734" s="3" t="s">
        <v>1354</v>
      </c>
      <c r="C734" s="3" t="s">
        <v>862</v>
      </c>
      <c r="D734" s="2"/>
      <c r="E734" s="2"/>
      <c r="F734" s="3"/>
    </row>
    <row r="735" spans="1:6" ht="15" customHeight="1" x14ac:dyDescent="0.2">
      <c r="A735" s="9" t="s">
        <v>2165</v>
      </c>
      <c r="B735" s="9" t="s">
        <v>1310</v>
      </c>
      <c r="C735" s="9" t="s">
        <v>862</v>
      </c>
      <c r="D735" s="8"/>
      <c r="E735" s="8"/>
      <c r="F735" s="9"/>
    </row>
    <row r="736" spans="1:6" ht="15" customHeight="1" x14ac:dyDescent="0.2">
      <c r="A736" s="3" t="s">
        <v>2166</v>
      </c>
      <c r="B736" s="3" t="s">
        <v>2167</v>
      </c>
      <c r="C736" s="3" t="s">
        <v>862</v>
      </c>
      <c r="D736" s="2"/>
      <c r="E736" s="2"/>
      <c r="F736" s="3"/>
    </row>
    <row r="737" spans="1:6" ht="15" customHeight="1" x14ac:dyDescent="0.2">
      <c r="A737" s="9" t="s">
        <v>2168</v>
      </c>
      <c r="B737" s="9" t="s">
        <v>1928</v>
      </c>
      <c r="C737" s="9" t="s">
        <v>862</v>
      </c>
      <c r="D737" s="8"/>
      <c r="E737" s="8"/>
      <c r="F737" s="9"/>
    </row>
    <row r="738" spans="1:6" ht="15" customHeight="1" x14ac:dyDescent="0.2">
      <c r="A738" s="3" t="s">
        <v>2169</v>
      </c>
      <c r="B738" s="3" t="s">
        <v>2170</v>
      </c>
      <c r="C738" s="3" t="s">
        <v>862</v>
      </c>
      <c r="D738" s="2"/>
      <c r="E738" s="2"/>
      <c r="F738" s="3"/>
    </row>
    <row r="739" spans="1:6" ht="15" customHeight="1" x14ac:dyDescent="0.2">
      <c r="A739" s="9" t="s">
        <v>2171</v>
      </c>
      <c r="B739" s="9" t="s">
        <v>2172</v>
      </c>
      <c r="C739" s="9" t="s">
        <v>862</v>
      </c>
      <c r="D739" s="8"/>
      <c r="E739" s="8"/>
      <c r="F739" s="9"/>
    </row>
    <row r="740" spans="1:6" ht="15" customHeight="1" x14ac:dyDescent="0.2">
      <c r="A740" s="3" t="s">
        <v>2173</v>
      </c>
      <c r="B740" s="3" t="s">
        <v>2174</v>
      </c>
      <c r="C740" s="3" t="s">
        <v>862</v>
      </c>
      <c r="D740" s="2"/>
      <c r="E740" s="2"/>
      <c r="F740" s="3"/>
    </row>
    <row r="741" spans="1:6" ht="15" customHeight="1" x14ac:dyDescent="0.2">
      <c r="A741" s="9" t="s">
        <v>2175</v>
      </c>
      <c r="B741" s="9" t="s">
        <v>2176</v>
      </c>
      <c r="C741" s="9" t="s">
        <v>862</v>
      </c>
      <c r="D741" s="8"/>
      <c r="E741" s="8"/>
      <c r="F741" s="9"/>
    </row>
    <row r="742" spans="1:6" ht="15" customHeight="1" x14ac:dyDescent="0.2">
      <c r="A742" s="3" t="s">
        <v>2177</v>
      </c>
      <c r="B742" s="3" t="s">
        <v>2178</v>
      </c>
      <c r="C742" s="3" t="s">
        <v>862</v>
      </c>
      <c r="D742" s="2"/>
      <c r="E742" s="2"/>
      <c r="F742" s="3"/>
    </row>
    <row r="743" spans="1:6" ht="15" customHeight="1" x14ac:dyDescent="0.2">
      <c r="A743" s="9" t="s">
        <v>2179</v>
      </c>
      <c r="B743" s="9" t="s">
        <v>2050</v>
      </c>
      <c r="C743" s="9" t="s">
        <v>862</v>
      </c>
      <c r="D743" s="8"/>
      <c r="E743" s="8"/>
      <c r="F743" s="9"/>
    </row>
    <row r="744" spans="1:6" ht="15" customHeight="1" x14ac:dyDescent="0.2">
      <c r="A744" s="3" t="s">
        <v>2180</v>
      </c>
      <c r="B744" s="3" t="s">
        <v>2181</v>
      </c>
      <c r="C744" s="3" t="s">
        <v>862</v>
      </c>
      <c r="D744" s="2"/>
      <c r="E744" s="2"/>
      <c r="F744" s="3"/>
    </row>
    <row r="745" spans="1:6" ht="15" customHeight="1" x14ac:dyDescent="0.2">
      <c r="A745" s="9" t="s">
        <v>2182</v>
      </c>
      <c r="B745" s="9" t="s">
        <v>2037</v>
      </c>
      <c r="C745" s="9" t="s">
        <v>862</v>
      </c>
      <c r="D745" s="8"/>
      <c r="E745" s="8"/>
      <c r="F745" s="9"/>
    </row>
    <row r="746" spans="1:6" ht="15" customHeight="1" x14ac:dyDescent="0.2">
      <c r="A746" s="3" t="s">
        <v>2183</v>
      </c>
      <c r="B746" s="3" t="s">
        <v>2184</v>
      </c>
      <c r="C746" s="3" t="s">
        <v>862</v>
      </c>
      <c r="D746" s="2"/>
      <c r="E746" s="2"/>
      <c r="F746" s="3"/>
    </row>
    <row r="747" spans="1:6" ht="15" customHeight="1" x14ac:dyDescent="0.2">
      <c r="A747" s="9" t="s">
        <v>2185</v>
      </c>
      <c r="B747" s="9" t="s">
        <v>1417</v>
      </c>
      <c r="C747" s="9" t="s">
        <v>862</v>
      </c>
      <c r="D747" s="8"/>
      <c r="E747" s="8"/>
      <c r="F747" s="9"/>
    </row>
    <row r="748" spans="1:6" ht="15" customHeight="1" x14ac:dyDescent="0.2">
      <c r="A748" s="3" t="s">
        <v>2186</v>
      </c>
      <c r="B748" s="3" t="s">
        <v>2187</v>
      </c>
      <c r="C748" s="3" t="s">
        <v>862</v>
      </c>
      <c r="D748" s="2"/>
      <c r="E748" s="2"/>
      <c r="F748" s="3"/>
    </row>
    <row r="749" spans="1:6" ht="15" customHeight="1" x14ac:dyDescent="0.2">
      <c r="A749" s="9" t="s">
        <v>2188</v>
      </c>
      <c r="B749" s="9" t="s">
        <v>1867</v>
      </c>
      <c r="C749" s="9" t="s">
        <v>862</v>
      </c>
      <c r="D749" s="8"/>
      <c r="E749" s="8"/>
      <c r="F749" s="9"/>
    </row>
    <row r="750" spans="1:6" ht="15" customHeight="1" x14ac:dyDescent="0.2">
      <c r="A750" s="3" t="s">
        <v>2189</v>
      </c>
      <c r="B750" s="3" t="s">
        <v>2094</v>
      </c>
      <c r="C750" s="3" t="s">
        <v>862</v>
      </c>
      <c r="D750" s="2"/>
      <c r="E750" s="2"/>
      <c r="F750" s="3"/>
    </row>
    <row r="751" spans="1:6" ht="15" customHeight="1" x14ac:dyDescent="0.2">
      <c r="A751" s="9" t="s">
        <v>2190</v>
      </c>
      <c r="B751" s="9" t="s">
        <v>1475</v>
      </c>
      <c r="C751" s="9" t="s">
        <v>862</v>
      </c>
      <c r="D751" s="8"/>
      <c r="E751" s="8"/>
      <c r="F751" s="9"/>
    </row>
    <row r="752" spans="1:6" ht="15" customHeight="1" x14ac:dyDescent="0.2">
      <c r="A752" s="3" t="s">
        <v>2191</v>
      </c>
      <c r="B752" s="3" t="s">
        <v>2058</v>
      </c>
      <c r="C752" s="3" t="s">
        <v>862</v>
      </c>
      <c r="D752" s="2"/>
      <c r="E752" s="2"/>
      <c r="F752" s="3"/>
    </row>
    <row r="753" spans="1:6" ht="15" customHeight="1" x14ac:dyDescent="0.2">
      <c r="A753" s="9" t="s">
        <v>2192</v>
      </c>
      <c r="B753" s="9" t="s">
        <v>1994</v>
      </c>
      <c r="C753" s="9" t="s">
        <v>862</v>
      </c>
      <c r="D753" s="8"/>
      <c r="E753" s="8"/>
      <c r="F753" s="9"/>
    </row>
    <row r="754" spans="1:6" ht="15" customHeight="1" x14ac:dyDescent="0.2">
      <c r="A754" s="3" t="s">
        <v>2193</v>
      </c>
      <c r="B754" s="3" t="s">
        <v>2194</v>
      </c>
      <c r="C754" s="3" t="s">
        <v>862</v>
      </c>
      <c r="D754" s="2"/>
      <c r="E754" s="2"/>
      <c r="F754" s="3"/>
    </row>
    <row r="755" spans="1:6" ht="15" customHeight="1" x14ac:dyDescent="0.2">
      <c r="A755" s="9" t="s">
        <v>2195</v>
      </c>
      <c r="B755" s="9" t="s">
        <v>1751</v>
      </c>
      <c r="C755" s="9" t="s">
        <v>862</v>
      </c>
      <c r="D755" s="8"/>
      <c r="E755" s="8"/>
      <c r="F755" s="9"/>
    </row>
    <row r="756" spans="1:6" ht="15" customHeight="1" x14ac:dyDescent="0.2">
      <c r="A756" s="3" t="s">
        <v>2196</v>
      </c>
      <c r="B756" s="3" t="s">
        <v>2134</v>
      </c>
      <c r="C756" s="3" t="s">
        <v>862</v>
      </c>
      <c r="D756" s="2"/>
      <c r="E756" s="2"/>
      <c r="F756" s="3"/>
    </row>
    <row r="757" spans="1:6" ht="15" customHeight="1" x14ac:dyDescent="0.2">
      <c r="A757" s="9" t="s">
        <v>2197</v>
      </c>
      <c r="B757" s="9" t="s">
        <v>2065</v>
      </c>
      <c r="C757" s="9" t="s">
        <v>862</v>
      </c>
      <c r="D757" s="8"/>
      <c r="E757" s="8"/>
      <c r="F757" s="9"/>
    </row>
    <row r="758" spans="1:6" ht="15" customHeight="1" x14ac:dyDescent="0.2">
      <c r="A758" s="3" t="s">
        <v>2198</v>
      </c>
      <c r="B758" s="3" t="s">
        <v>1314</v>
      </c>
      <c r="C758" s="3" t="s">
        <v>862</v>
      </c>
      <c r="D758" s="2"/>
      <c r="E758" s="2"/>
      <c r="F758" s="3"/>
    </row>
    <row r="759" spans="1:6" ht="15" customHeight="1" x14ac:dyDescent="0.2">
      <c r="A759" s="9" t="s">
        <v>2199</v>
      </c>
      <c r="B759" s="9" t="s">
        <v>1941</v>
      </c>
      <c r="C759" s="9" t="s">
        <v>862</v>
      </c>
      <c r="D759" s="8"/>
      <c r="E759" s="8"/>
      <c r="F759" s="9"/>
    </row>
    <row r="760" spans="1:6" ht="15" customHeight="1" x14ac:dyDescent="0.2">
      <c r="A760" s="3" t="s">
        <v>2200</v>
      </c>
      <c r="B760" s="3" t="s">
        <v>2094</v>
      </c>
      <c r="C760" s="3" t="s">
        <v>862</v>
      </c>
      <c r="D760" s="2"/>
      <c r="E760" s="2"/>
      <c r="F760" s="3"/>
    </row>
    <row r="761" spans="1:6" ht="15" customHeight="1" x14ac:dyDescent="0.2">
      <c r="A761" s="9" t="s">
        <v>2201</v>
      </c>
      <c r="B761" s="9" t="s">
        <v>2127</v>
      </c>
      <c r="C761" s="9" t="s">
        <v>862</v>
      </c>
      <c r="D761" s="8"/>
      <c r="E761" s="8"/>
      <c r="F761" s="9"/>
    </row>
    <row r="762" spans="1:6" ht="15" customHeight="1" x14ac:dyDescent="0.2">
      <c r="A762" s="3" t="s">
        <v>2202</v>
      </c>
      <c r="B762" s="3" t="s">
        <v>2203</v>
      </c>
      <c r="C762" s="3" t="s">
        <v>862</v>
      </c>
      <c r="D762" s="2"/>
      <c r="E762" s="2"/>
      <c r="F762" s="3"/>
    </row>
    <row r="763" spans="1:6" ht="15" customHeight="1" x14ac:dyDescent="0.2">
      <c r="A763" s="9" t="s">
        <v>2204</v>
      </c>
      <c r="B763" s="9" t="s">
        <v>1274</v>
      </c>
      <c r="C763" s="9" t="s">
        <v>862</v>
      </c>
      <c r="D763" s="8"/>
      <c r="E763" s="8"/>
      <c r="F763" s="9"/>
    </row>
    <row r="764" spans="1:6" ht="15" customHeight="1" x14ac:dyDescent="0.2">
      <c r="A764" s="3" t="s">
        <v>2205</v>
      </c>
      <c r="B764" s="3" t="s">
        <v>1936</v>
      </c>
      <c r="C764" s="3" t="s">
        <v>862</v>
      </c>
      <c r="D764" s="2"/>
      <c r="E764" s="2"/>
      <c r="F764" s="3"/>
    </row>
    <row r="765" spans="1:6" ht="15" customHeight="1" x14ac:dyDescent="0.2">
      <c r="A765" s="9" t="s">
        <v>2206</v>
      </c>
      <c r="B765" s="9" t="s">
        <v>1421</v>
      </c>
      <c r="C765" s="9" t="s">
        <v>862</v>
      </c>
      <c r="D765" s="8"/>
      <c r="E765" s="8"/>
      <c r="F765" s="9"/>
    </row>
    <row r="766" spans="1:6" ht="15" customHeight="1" x14ac:dyDescent="0.2">
      <c r="A766" s="3" t="s">
        <v>2207</v>
      </c>
      <c r="B766" s="3" t="s">
        <v>2208</v>
      </c>
      <c r="C766" s="3" t="s">
        <v>862</v>
      </c>
      <c r="D766" s="2"/>
      <c r="E766" s="2"/>
      <c r="F766" s="3"/>
    </row>
    <row r="767" spans="1:6" ht="15" customHeight="1" x14ac:dyDescent="0.2">
      <c r="A767" s="9" t="s">
        <v>2209</v>
      </c>
      <c r="B767" s="9" t="s">
        <v>1659</v>
      </c>
      <c r="C767" s="9" t="s">
        <v>862</v>
      </c>
      <c r="D767" s="8"/>
      <c r="E767" s="8"/>
      <c r="F767" s="9"/>
    </row>
    <row r="768" spans="1:6" ht="15" customHeight="1" x14ac:dyDescent="0.2">
      <c r="A768" s="3" t="s">
        <v>2210</v>
      </c>
      <c r="B768" s="3" t="s">
        <v>1242</v>
      </c>
      <c r="C768" s="3" t="s">
        <v>862</v>
      </c>
      <c r="D768" s="2"/>
      <c r="E768" s="2"/>
      <c r="F768" s="3"/>
    </row>
    <row r="769" spans="1:6" ht="15" customHeight="1" x14ac:dyDescent="0.2">
      <c r="A769" s="9" t="s">
        <v>2211</v>
      </c>
      <c r="B769" s="9" t="s">
        <v>2212</v>
      </c>
      <c r="C769" s="9" t="s">
        <v>862</v>
      </c>
      <c r="D769" s="8"/>
      <c r="E769" s="8"/>
      <c r="F769" s="9"/>
    </row>
    <row r="770" spans="1:6" ht="15" customHeight="1" x14ac:dyDescent="0.2">
      <c r="A770" s="3" t="s">
        <v>2213</v>
      </c>
      <c r="B770" s="3" t="s">
        <v>2214</v>
      </c>
      <c r="C770" s="3" t="s">
        <v>862</v>
      </c>
      <c r="D770" s="2"/>
      <c r="E770" s="2"/>
      <c r="F770" s="3"/>
    </row>
    <row r="771" spans="1:6" ht="15" customHeight="1" x14ac:dyDescent="0.2">
      <c r="A771" s="9" t="s">
        <v>2215</v>
      </c>
      <c r="B771" s="9" t="s">
        <v>1518</v>
      </c>
      <c r="C771" s="9" t="s">
        <v>862</v>
      </c>
      <c r="D771" s="8"/>
      <c r="E771" s="8"/>
      <c r="F771" s="9"/>
    </row>
    <row r="772" spans="1:6" ht="15" customHeight="1" x14ac:dyDescent="0.2">
      <c r="A772" s="3" t="s">
        <v>2216</v>
      </c>
      <c r="B772" s="3" t="s">
        <v>2217</v>
      </c>
      <c r="C772" s="3" t="s">
        <v>862</v>
      </c>
      <c r="D772" s="2"/>
      <c r="E772" s="2"/>
      <c r="F772" s="3"/>
    </row>
    <row r="773" spans="1:6" ht="15" customHeight="1" x14ac:dyDescent="0.2">
      <c r="A773" s="9" t="s">
        <v>2218</v>
      </c>
      <c r="B773" s="9" t="s">
        <v>2219</v>
      </c>
      <c r="C773" s="9" t="s">
        <v>862</v>
      </c>
      <c r="D773" s="8"/>
      <c r="E773" s="8"/>
      <c r="F773" s="9"/>
    </row>
    <row r="774" spans="1:6" ht="15" customHeight="1" x14ac:dyDescent="0.2">
      <c r="A774" s="3" t="s">
        <v>2220</v>
      </c>
      <c r="B774" s="3" t="s">
        <v>2082</v>
      </c>
      <c r="C774" s="3" t="s">
        <v>862</v>
      </c>
      <c r="D774" s="2"/>
      <c r="E774" s="2"/>
      <c r="F774" s="3"/>
    </row>
    <row r="775" spans="1:6" ht="15" customHeight="1" x14ac:dyDescent="0.2">
      <c r="A775" s="9" t="s">
        <v>2221</v>
      </c>
      <c r="B775" s="9" t="s">
        <v>1572</v>
      </c>
      <c r="C775" s="9" t="s">
        <v>862</v>
      </c>
      <c r="D775" s="8"/>
      <c r="E775" s="8"/>
      <c r="F775" s="9"/>
    </row>
    <row r="776" spans="1:6" ht="15" customHeight="1" x14ac:dyDescent="0.2">
      <c r="A776" s="3" t="s">
        <v>2222</v>
      </c>
      <c r="B776" s="3" t="s">
        <v>2089</v>
      </c>
      <c r="C776" s="3" t="s">
        <v>862</v>
      </c>
      <c r="D776" s="2"/>
      <c r="E776" s="2"/>
      <c r="F776" s="3"/>
    </row>
    <row r="777" spans="1:6" ht="15" customHeight="1" x14ac:dyDescent="0.2">
      <c r="A777" s="9" t="s">
        <v>2223</v>
      </c>
      <c r="B777" s="9" t="s">
        <v>2224</v>
      </c>
      <c r="C777" s="9" t="s">
        <v>862</v>
      </c>
      <c r="D777" s="8"/>
      <c r="E777" s="8"/>
      <c r="F777" s="9"/>
    </row>
    <row r="778" spans="1:6" ht="15" customHeight="1" x14ac:dyDescent="0.2">
      <c r="A778" s="3" t="s">
        <v>2225</v>
      </c>
      <c r="B778" s="3" t="s">
        <v>1431</v>
      </c>
      <c r="C778" s="3" t="s">
        <v>862</v>
      </c>
      <c r="D778" s="2"/>
      <c r="E778" s="2"/>
      <c r="F778" s="3"/>
    </row>
    <row r="779" spans="1:6" ht="15" customHeight="1" x14ac:dyDescent="0.2">
      <c r="A779" s="9" t="s">
        <v>2226</v>
      </c>
      <c r="B779" s="9" t="s">
        <v>1779</v>
      </c>
      <c r="C779" s="9" t="s">
        <v>862</v>
      </c>
      <c r="D779" s="8"/>
      <c r="E779" s="8"/>
      <c r="F779" s="9"/>
    </row>
    <row r="780" spans="1:6" ht="15" customHeight="1" x14ac:dyDescent="0.2">
      <c r="A780" s="3" t="s">
        <v>2227</v>
      </c>
      <c r="B780" s="3" t="s">
        <v>2228</v>
      </c>
      <c r="C780" s="3" t="s">
        <v>862</v>
      </c>
      <c r="D780" s="2"/>
      <c r="E780" s="2"/>
      <c r="F780" s="3"/>
    </row>
    <row r="781" spans="1:6" ht="15" customHeight="1" x14ac:dyDescent="0.2">
      <c r="A781" s="9" t="s">
        <v>2229</v>
      </c>
      <c r="B781" s="9" t="s">
        <v>2230</v>
      </c>
      <c r="C781" s="9" t="s">
        <v>862</v>
      </c>
      <c r="D781" s="8"/>
      <c r="E781" s="8"/>
      <c r="F781" s="9"/>
    </row>
    <row r="782" spans="1:6" ht="15" customHeight="1" x14ac:dyDescent="0.2">
      <c r="A782" s="3" t="s">
        <v>2231</v>
      </c>
      <c r="B782" s="3" t="s">
        <v>2232</v>
      </c>
      <c r="C782" s="3" t="s">
        <v>862</v>
      </c>
      <c r="D782" s="2"/>
      <c r="E782" s="2"/>
      <c r="F782" s="3"/>
    </row>
    <row r="783" spans="1:6" ht="15" customHeight="1" x14ac:dyDescent="0.2">
      <c r="A783" s="9" t="s">
        <v>2233</v>
      </c>
      <c r="B783" s="9" t="s">
        <v>2234</v>
      </c>
      <c r="C783" s="9" t="s">
        <v>862</v>
      </c>
      <c r="D783" s="8"/>
      <c r="E783" s="8"/>
      <c r="F783" s="9"/>
    </row>
    <row r="784" spans="1:6" ht="15" customHeight="1" x14ac:dyDescent="0.2">
      <c r="A784" s="3" t="s">
        <v>2235</v>
      </c>
      <c r="B784" s="3" t="s">
        <v>1983</v>
      </c>
      <c r="C784" s="3" t="s">
        <v>862</v>
      </c>
      <c r="D784" s="2"/>
      <c r="E784" s="2"/>
      <c r="F784" s="3"/>
    </row>
    <row r="785" spans="1:6" ht="15" customHeight="1" x14ac:dyDescent="0.2">
      <c r="A785" s="9" t="s">
        <v>2236</v>
      </c>
      <c r="B785" s="9" t="s">
        <v>2237</v>
      </c>
      <c r="C785" s="9" t="s">
        <v>862</v>
      </c>
      <c r="D785" s="8"/>
      <c r="E785" s="8"/>
      <c r="F785" s="9"/>
    </row>
    <row r="786" spans="1:6" ht="15" customHeight="1" x14ac:dyDescent="0.2">
      <c r="A786" s="3" t="s">
        <v>2238</v>
      </c>
      <c r="B786" s="3" t="s">
        <v>2037</v>
      </c>
      <c r="C786" s="3" t="s">
        <v>862</v>
      </c>
      <c r="D786" s="2"/>
      <c r="E786" s="2"/>
      <c r="F786" s="3"/>
    </row>
    <row r="787" spans="1:6" ht="15" customHeight="1" x14ac:dyDescent="0.2">
      <c r="A787" s="9" t="s">
        <v>2239</v>
      </c>
      <c r="B787" s="9" t="s">
        <v>2116</v>
      </c>
      <c r="C787" s="9" t="s">
        <v>862</v>
      </c>
      <c r="D787" s="8"/>
      <c r="E787" s="8"/>
      <c r="F787" s="9"/>
    </row>
    <row r="788" spans="1:6" ht="15" customHeight="1" x14ac:dyDescent="0.2">
      <c r="A788" s="3" t="s">
        <v>2240</v>
      </c>
      <c r="B788" s="3" t="s">
        <v>2241</v>
      </c>
      <c r="C788" s="3" t="s">
        <v>862</v>
      </c>
      <c r="D788" s="2"/>
      <c r="E788" s="2"/>
      <c r="F788" s="3"/>
    </row>
    <row r="789" spans="1:6" ht="15" customHeight="1" x14ac:dyDescent="0.2">
      <c r="A789" s="9" t="s">
        <v>2242</v>
      </c>
      <c r="B789" s="9" t="s">
        <v>2243</v>
      </c>
      <c r="C789" s="9" t="s">
        <v>862</v>
      </c>
      <c r="D789" s="8"/>
      <c r="E789" s="8"/>
      <c r="F789" s="9"/>
    </row>
    <row r="790" spans="1:6" ht="15" customHeight="1" x14ac:dyDescent="0.2">
      <c r="A790" s="3" t="s">
        <v>2244</v>
      </c>
      <c r="B790" s="3" t="s">
        <v>2245</v>
      </c>
      <c r="C790" s="3" t="s">
        <v>862</v>
      </c>
      <c r="D790" s="2"/>
      <c r="E790" s="2"/>
      <c r="F790" s="3"/>
    </row>
    <row r="791" spans="1:6" ht="15" customHeight="1" x14ac:dyDescent="0.2">
      <c r="A791" s="9" t="s">
        <v>2246</v>
      </c>
      <c r="B791" s="9" t="s">
        <v>2247</v>
      </c>
      <c r="C791" s="9" t="s">
        <v>862</v>
      </c>
      <c r="D791" s="8"/>
      <c r="E791" s="8"/>
      <c r="F791" s="9"/>
    </row>
    <row r="792" spans="1:6" ht="15" customHeight="1" x14ac:dyDescent="0.2">
      <c r="A792" s="3" t="s">
        <v>2248</v>
      </c>
      <c r="B792" s="3" t="s">
        <v>1695</v>
      </c>
      <c r="C792" s="3" t="s">
        <v>862</v>
      </c>
      <c r="D792" s="2"/>
      <c r="E792" s="2"/>
      <c r="F792" s="3"/>
    </row>
    <row r="793" spans="1:6" ht="15" customHeight="1" x14ac:dyDescent="0.2">
      <c r="A793" s="9" t="s">
        <v>2249</v>
      </c>
      <c r="B793" s="9" t="s">
        <v>2250</v>
      </c>
      <c r="C793" s="9" t="s">
        <v>862</v>
      </c>
      <c r="D793" s="8"/>
      <c r="E793" s="8"/>
      <c r="F793" s="9"/>
    </row>
    <row r="794" spans="1:6" ht="15" customHeight="1" x14ac:dyDescent="0.2">
      <c r="A794" s="3" t="s">
        <v>2251</v>
      </c>
      <c r="B794" s="3" t="s">
        <v>1547</v>
      </c>
      <c r="C794" s="3" t="s">
        <v>862</v>
      </c>
      <c r="D794" s="2"/>
      <c r="E794" s="2"/>
      <c r="F794" s="3"/>
    </row>
    <row r="795" spans="1:6" ht="15" customHeight="1" x14ac:dyDescent="0.2">
      <c r="A795" s="9" t="s">
        <v>2252</v>
      </c>
      <c r="B795" s="9" t="s">
        <v>1234</v>
      </c>
      <c r="C795" s="9" t="s">
        <v>862</v>
      </c>
      <c r="D795" s="8"/>
      <c r="E795" s="8"/>
      <c r="F795" s="9"/>
    </row>
    <row r="796" spans="1:6" ht="15" customHeight="1" x14ac:dyDescent="0.2">
      <c r="A796" s="3" t="s">
        <v>2253</v>
      </c>
      <c r="B796" s="3" t="s">
        <v>2254</v>
      </c>
      <c r="C796" s="3" t="s">
        <v>862</v>
      </c>
      <c r="D796" s="2"/>
      <c r="E796" s="2"/>
      <c r="F796" s="3"/>
    </row>
    <row r="797" spans="1:6" ht="15" customHeight="1" x14ac:dyDescent="0.2">
      <c r="A797" s="9" t="s">
        <v>2255</v>
      </c>
      <c r="B797" s="9" t="s">
        <v>1907</v>
      </c>
      <c r="C797" s="9" t="s">
        <v>862</v>
      </c>
      <c r="D797" s="8"/>
      <c r="E797" s="8"/>
      <c r="F797" s="9"/>
    </row>
    <row r="798" spans="1:6" ht="15" customHeight="1" x14ac:dyDescent="0.2">
      <c r="A798" s="3" t="s">
        <v>2256</v>
      </c>
      <c r="B798" s="3" t="s">
        <v>2257</v>
      </c>
      <c r="C798" s="3" t="s">
        <v>862</v>
      </c>
      <c r="D798" s="2"/>
      <c r="E798" s="2"/>
      <c r="F798" s="3"/>
    </row>
    <row r="799" spans="1:6" ht="15" customHeight="1" x14ac:dyDescent="0.2">
      <c r="A799" s="9" t="s">
        <v>2258</v>
      </c>
      <c r="B799" s="9" t="s">
        <v>1373</v>
      </c>
      <c r="C799" s="9" t="s">
        <v>862</v>
      </c>
      <c r="D799" s="8"/>
      <c r="E799" s="8"/>
      <c r="F799" s="9"/>
    </row>
    <row r="800" spans="1:6" ht="15" customHeight="1" x14ac:dyDescent="0.2">
      <c r="A800" s="3" t="s">
        <v>2259</v>
      </c>
      <c r="B800" s="3" t="s">
        <v>2260</v>
      </c>
      <c r="C800" s="3" t="s">
        <v>862</v>
      </c>
      <c r="D800" s="2"/>
      <c r="E800" s="2"/>
      <c r="F800" s="3"/>
    </row>
    <row r="801" spans="1:6" ht="15" customHeight="1" x14ac:dyDescent="0.2">
      <c r="A801" s="9" t="s">
        <v>2261</v>
      </c>
      <c r="B801" s="9" t="s">
        <v>2018</v>
      </c>
      <c r="C801" s="9" t="s">
        <v>862</v>
      </c>
      <c r="D801" s="8"/>
      <c r="E801" s="8"/>
      <c r="F801" s="9"/>
    </row>
    <row r="802" spans="1:6" ht="15" customHeight="1" x14ac:dyDescent="0.2">
      <c r="A802" s="3" t="s">
        <v>2262</v>
      </c>
      <c r="B802" s="3" t="s">
        <v>2263</v>
      </c>
      <c r="C802" s="3" t="s">
        <v>862</v>
      </c>
      <c r="D802" s="2"/>
      <c r="E802" s="2"/>
      <c r="F802" s="3"/>
    </row>
    <row r="803" spans="1:6" ht="15" customHeight="1" x14ac:dyDescent="0.2">
      <c r="A803" s="9" t="s">
        <v>2264</v>
      </c>
      <c r="B803" s="9" t="s">
        <v>1565</v>
      </c>
      <c r="C803" s="9" t="s">
        <v>862</v>
      </c>
      <c r="D803" s="8"/>
      <c r="E803" s="8"/>
      <c r="F803" s="9"/>
    </row>
    <row r="804" spans="1:6" ht="15" customHeight="1" x14ac:dyDescent="0.2">
      <c r="A804" s="3" t="s">
        <v>2265</v>
      </c>
      <c r="B804" s="3" t="s">
        <v>2266</v>
      </c>
      <c r="C804" s="3" t="s">
        <v>862</v>
      </c>
      <c r="D804" s="2"/>
      <c r="E804" s="2"/>
      <c r="F804" s="3"/>
    </row>
    <row r="805" spans="1:6" ht="15" customHeight="1" x14ac:dyDescent="0.2">
      <c r="A805" s="9" t="s">
        <v>2267</v>
      </c>
      <c r="B805" s="9" t="s">
        <v>2112</v>
      </c>
      <c r="C805" s="9" t="s">
        <v>862</v>
      </c>
      <c r="D805" s="8"/>
      <c r="E805" s="8"/>
      <c r="F805" s="9"/>
    </row>
    <row r="806" spans="1:6" ht="15" customHeight="1" x14ac:dyDescent="0.2">
      <c r="A806" s="3" t="s">
        <v>2268</v>
      </c>
      <c r="B806" s="3" t="s">
        <v>2269</v>
      </c>
      <c r="C806" s="3" t="s">
        <v>862</v>
      </c>
      <c r="D806" s="2"/>
      <c r="E806" s="2"/>
      <c r="F806" s="3"/>
    </row>
    <row r="807" spans="1:6" ht="15" customHeight="1" x14ac:dyDescent="0.2">
      <c r="A807" s="9" t="s">
        <v>2270</v>
      </c>
      <c r="B807" s="9" t="s">
        <v>2271</v>
      </c>
      <c r="C807" s="9" t="s">
        <v>862</v>
      </c>
      <c r="D807" s="8"/>
      <c r="E807" s="8"/>
      <c r="F807" s="9"/>
    </row>
    <row r="808" spans="1:6" ht="15" customHeight="1" x14ac:dyDescent="0.2">
      <c r="A808" s="3" t="s">
        <v>2272</v>
      </c>
      <c r="B808" s="3" t="s">
        <v>2224</v>
      </c>
      <c r="C808" s="3" t="s">
        <v>862</v>
      </c>
      <c r="D808" s="2"/>
      <c r="E808" s="2"/>
      <c r="F808" s="3"/>
    </row>
    <row r="809" spans="1:6" ht="15" customHeight="1" x14ac:dyDescent="0.2">
      <c r="A809" s="9" t="s">
        <v>2273</v>
      </c>
      <c r="B809" s="9" t="s">
        <v>1979</v>
      </c>
      <c r="C809" s="9" t="s">
        <v>862</v>
      </c>
      <c r="D809" s="8"/>
      <c r="E809" s="8"/>
      <c r="F809" s="9"/>
    </row>
    <row r="810" spans="1:6" ht="15" customHeight="1" x14ac:dyDescent="0.2">
      <c r="A810" s="3" t="s">
        <v>2274</v>
      </c>
      <c r="B810" s="3" t="s">
        <v>1248</v>
      </c>
      <c r="C810" s="3" t="s">
        <v>862</v>
      </c>
      <c r="D810" s="2"/>
      <c r="E810" s="2"/>
      <c r="F810" s="3"/>
    </row>
    <row r="811" spans="1:6" ht="15" customHeight="1" x14ac:dyDescent="0.2">
      <c r="A811" s="9" t="s">
        <v>2275</v>
      </c>
      <c r="B811" s="9" t="s">
        <v>1994</v>
      </c>
      <c r="C811" s="9" t="s">
        <v>862</v>
      </c>
      <c r="D811" s="8"/>
      <c r="E811" s="8"/>
      <c r="F811" s="9"/>
    </row>
    <row r="812" spans="1:6" ht="15" customHeight="1" x14ac:dyDescent="0.2">
      <c r="A812" s="3" t="s">
        <v>2276</v>
      </c>
      <c r="B812" s="3" t="s">
        <v>1584</v>
      </c>
      <c r="C812" s="3" t="s">
        <v>862</v>
      </c>
      <c r="D812" s="2"/>
      <c r="E812" s="2"/>
      <c r="F812" s="3"/>
    </row>
    <row r="813" spans="1:6" ht="15" customHeight="1" x14ac:dyDescent="0.2">
      <c r="A813" s="9" t="s">
        <v>2277</v>
      </c>
      <c r="B813" s="9" t="s">
        <v>1945</v>
      </c>
      <c r="C813" s="9" t="s">
        <v>862</v>
      </c>
      <c r="D813" s="8"/>
      <c r="E813" s="8"/>
      <c r="F813" s="9"/>
    </row>
    <row r="814" spans="1:6" ht="15" customHeight="1" x14ac:dyDescent="0.2">
      <c r="A814" s="3" t="s">
        <v>2278</v>
      </c>
      <c r="B814" s="3" t="s">
        <v>1592</v>
      </c>
      <c r="C814" s="3" t="s">
        <v>862</v>
      </c>
      <c r="D814" s="2"/>
      <c r="E814" s="2"/>
      <c r="F814" s="3"/>
    </row>
    <row r="815" spans="1:6" ht="15" customHeight="1" x14ac:dyDescent="0.2">
      <c r="A815" s="9" t="s">
        <v>2279</v>
      </c>
      <c r="B815" s="9" t="s">
        <v>2280</v>
      </c>
      <c r="C815" s="9" t="s">
        <v>862</v>
      </c>
      <c r="D815" s="8"/>
      <c r="E815" s="8"/>
      <c r="F815" s="9"/>
    </row>
    <row r="816" spans="1:6" ht="15" customHeight="1" x14ac:dyDescent="0.2">
      <c r="A816" s="3" t="s">
        <v>2281</v>
      </c>
      <c r="B816" s="3" t="s">
        <v>1296</v>
      </c>
      <c r="C816" s="3" t="s">
        <v>862</v>
      </c>
      <c r="D816" s="2"/>
      <c r="E816" s="2"/>
      <c r="F816" s="3"/>
    </row>
    <row r="817" spans="1:6" ht="15" customHeight="1" x14ac:dyDescent="0.2">
      <c r="A817" s="9" t="s">
        <v>2282</v>
      </c>
      <c r="B817" s="9" t="s">
        <v>2283</v>
      </c>
      <c r="C817" s="9" t="s">
        <v>862</v>
      </c>
      <c r="D817" s="8"/>
      <c r="E817" s="8"/>
      <c r="F817" s="9"/>
    </row>
    <row r="818" spans="1:6" ht="15" customHeight="1" x14ac:dyDescent="0.2">
      <c r="A818" s="3" t="s">
        <v>2284</v>
      </c>
      <c r="B818" s="3" t="s">
        <v>2285</v>
      </c>
      <c r="C818" s="3" t="s">
        <v>862</v>
      </c>
      <c r="D818" s="2"/>
      <c r="E818" s="2"/>
      <c r="F818" s="3"/>
    </row>
    <row r="819" spans="1:6" ht="15" customHeight="1" x14ac:dyDescent="0.2">
      <c r="A819" s="9" t="s">
        <v>2286</v>
      </c>
      <c r="B819" s="9" t="s">
        <v>2150</v>
      </c>
      <c r="C819" s="9" t="s">
        <v>862</v>
      </c>
      <c r="D819" s="8"/>
      <c r="E819" s="8"/>
      <c r="F819" s="9"/>
    </row>
    <row r="820" spans="1:6" ht="15" customHeight="1" x14ac:dyDescent="0.2">
      <c r="A820" s="3" t="s">
        <v>2287</v>
      </c>
      <c r="B820" s="3" t="s">
        <v>2288</v>
      </c>
      <c r="C820" s="3" t="s">
        <v>862</v>
      </c>
      <c r="D820" s="2"/>
      <c r="E820" s="2"/>
      <c r="F820" s="3"/>
    </row>
    <row r="821" spans="1:6" ht="15" customHeight="1" x14ac:dyDescent="0.2">
      <c r="A821" s="9" t="s">
        <v>2289</v>
      </c>
      <c r="B821" s="9" t="s">
        <v>2290</v>
      </c>
      <c r="C821" s="9" t="s">
        <v>862</v>
      </c>
      <c r="D821" s="8"/>
      <c r="E821" s="8"/>
      <c r="F821" s="9"/>
    </row>
    <row r="822" spans="1:6" ht="15" customHeight="1" x14ac:dyDescent="0.2">
      <c r="A822" s="3" t="s">
        <v>2291</v>
      </c>
      <c r="B822" s="3" t="s">
        <v>1672</v>
      </c>
      <c r="C822" s="3" t="s">
        <v>862</v>
      </c>
      <c r="D822" s="2"/>
      <c r="E822" s="2"/>
      <c r="F822" s="3"/>
    </row>
    <row r="823" spans="1:6" ht="15" customHeight="1" x14ac:dyDescent="0.2">
      <c r="A823" s="9" t="s">
        <v>2292</v>
      </c>
      <c r="B823" s="9" t="s">
        <v>1910</v>
      </c>
      <c r="C823" s="9" t="s">
        <v>862</v>
      </c>
      <c r="D823" s="8"/>
      <c r="E823" s="8"/>
      <c r="F823" s="9"/>
    </row>
    <row r="824" spans="1:6" ht="15" customHeight="1" x14ac:dyDescent="0.2">
      <c r="A824" s="3" t="s">
        <v>2293</v>
      </c>
      <c r="B824" s="3" t="s">
        <v>1779</v>
      </c>
      <c r="C824" s="3" t="s">
        <v>862</v>
      </c>
      <c r="D824" s="2"/>
      <c r="E824" s="2"/>
      <c r="F824" s="3"/>
    </row>
    <row r="825" spans="1:6" ht="15" customHeight="1" x14ac:dyDescent="0.2">
      <c r="A825" s="9" t="s">
        <v>2294</v>
      </c>
      <c r="B825" s="9" t="s">
        <v>1501</v>
      </c>
      <c r="C825" s="9" t="s">
        <v>862</v>
      </c>
      <c r="D825" s="8"/>
      <c r="E825" s="8"/>
      <c r="F825" s="9"/>
    </row>
    <row r="826" spans="1:6" ht="15" customHeight="1" x14ac:dyDescent="0.2">
      <c r="A826" s="3" t="s">
        <v>2295</v>
      </c>
      <c r="B826" s="3" t="s">
        <v>1473</v>
      </c>
      <c r="C826" s="3" t="s">
        <v>862</v>
      </c>
      <c r="D826" s="2"/>
      <c r="E826" s="2"/>
      <c r="F826" s="3"/>
    </row>
    <row r="827" spans="1:6" ht="15" customHeight="1" x14ac:dyDescent="0.2">
      <c r="A827" s="9" t="s">
        <v>2296</v>
      </c>
      <c r="B827" s="9" t="s">
        <v>1543</v>
      </c>
      <c r="C827" s="9" t="s">
        <v>862</v>
      </c>
      <c r="D827" s="8"/>
      <c r="E827" s="8"/>
      <c r="F827" s="9"/>
    </row>
    <row r="828" spans="1:6" ht="15" customHeight="1" x14ac:dyDescent="0.2">
      <c r="A828" s="3" t="s">
        <v>2297</v>
      </c>
      <c r="B828" s="3" t="s">
        <v>1352</v>
      </c>
      <c r="C828" s="3" t="s">
        <v>862</v>
      </c>
      <c r="D828" s="2"/>
      <c r="E828" s="2"/>
      <c r="F828" s="3"/>
    </row>
    <row r="829" spans="1:6" ht="15" customHeight="1" x14ac:dyDescent="0.2">
      <c r="A829" s="9" t="s">
        <v>2298</v>
      </c>
      <c r="B829" s="9" t="s">
        <v>2247</v>
      </c>
      <c r="C829" s="9" t="s">
        <v>862</v>
      </c>
      <c r="D829" s="8"/>
      <c r="E829" s="8"/>
      <c r="F829" s="9"/>
    </row>
    <row r="830" spans="1:6" ht="15" customHeight="1" x14ac:dyDescent="0.2">
      <c r="A830" s="3" t="s">
        <v>2299</v>
      </c>
      <c r="B830" s="3" t="s">
        <v>2300</v>
      </c>
      <c r="C830" s="3" t="s">
        <v>862</v>
      </c>
      <c r="D830" s="2"/>
      <c r="E830" s="2"/>
      <c r="F830" s="3"/>
    </row>
    <row r="831" spans="1:6" ht="15" customHeight="1" x14ac:dyDescent="0.2">
      <c r="A831" s="9" t="s">
        <v>2301</v>
      </c>
      <c r="B831" s="9" t="s">
        <v>2302</v>
      </c>
      <c r="C831" s="9" t="s">
        <v>862</v>
      </c>
      <c r="D831" s="8"/>
      <c r="E831" s="8"/>
      <c r="F831" s="9"/>
    </row>
    <row r="832" spans="1:6" ht="15" customHeight="1" x14ac:dyDescent="0.2">
      <c r="A832" s="3" t="s">
        <v>2303</v>
      </c>
      <c r="B832" s="3" t="s">
        <v>2304</v>
      </c>
      <c r="C832" s="3" t="s">
        <v>862</v>
      </c>
      <c r="D832" s="2"/>
      <c r="E832" s="2"/>
      <c r="F832" s="3"/>
    </row>
    <row r="833" spans="1:6" ht="15" customHeight="1" x14ac:dyDescent="0.2">
      <c r="A833" s="9" t="s">
        <v>2305</v>
      </c>
      <c r="B833" s="9" t="s">
        <v>2306</v>
      </c>
      <c r="C833" s="9" t="s">
        <v>862</v>
      </c>
      <c r="D833" s="8"/>
      <c r="E833" s="8"/>
      <c r="F833" s="9"/>
    </row>
    <row r="834" spans="1:6" ht="15" customHeight="1" x14ac:dyDescent="0.2">
      <c r="A834" s="3" t="s">
        <v>2307</v>
      </c>
      <c r="B834" s="3" t="s">
        <v>2308</v>
      </c>
      <c r="C834" s="3" t="s">
        <v>862</v>
      </c>
      <c r="D834" s="2"/>
      <c r="E834" s="2"/>
      <c r="F834" s="3"/>
    </row>
    <row r="835" spans="1:6" ht="15" customHeight="1" x14ac:dyDescent="0.2">
      <c r="A835" s="9" t="s">
        <v>2309</v>
      </c>
      <c r="B835" s="9" t="s">
        <v>2141</v>
      </c>
      <c r="C835" s="9" t="s">
        <v>862</v>
      </c>
      <c r="D835" s="8"/>
      <c r="E835" s="8"/>
      <c r="F835" s="9"/>
    </row>
    <row r="836" spans="1:6" ht="15" customHeight="1" x14ac:dyDescent="0.2">
      <c r="A836" s="3" t="s">
        <v>2310</v>
      </c>
      <c r="B836" s="3" t="s">
        <v>2306</v>
      </c>
      <c r="C836" s="3" t="s">
        <v>862</v>
      </c>
      <c r="D836" s="2"/>
      <c r="E836" s="2"/>
      <c r="F836" s="3"/>
    </row>
    <row r="837" spans="1:6" ht="15" customHeight="1" x14ac:dyDescent="0.2">
      <c r="A837" s="9" t="s">
        <v>2311</v>
      </c>
      <c r="B837" s="9" t="s">
        <v>2136</v>
      </c>
      <c r="C837" s="9" t="s">
        <v>862</v>
      </c>
      <c r="D837" s="8"/>
      <c r="E837" s="8"/>
      <c r="F837" s="9"/>
    </row>
    <row r="838" spans="1:6" ht="15" customHeight="1" x14ac:dyDescent="0.2">
      <c r="A838" s="3" t="s">
        <v>2312</v>
      </c>
      <c r="B838" s="3" t="s">
        <v>1518</v>
      </c>
      <c r="C838" s="3" t="s">
        <v>862</v>
      </c>
      <c r="D838" s="2"/>
      <c r="E838" s="2"/>
      <c r="F838" s="3"/>
    </row>
    <row r="839" spans="1:6" ht="15" customHeight="1" x14ac:dyDescent="0.2">
      <c r="A839" s="9" t="s">
        <v>2313</v>
      </c>
      <c r="B839" s="9" t="s">
        <v>1381</v>
      </c>
      <c r="C839" s="9" t="s">
        <v>862</v>
      </c>
      <c r="D839" s="8"/>
      <c r="E839" s="8"/>
      <c r="F839" s="9"/>
    </row>
    <row r="840" spans="1:6" ht="15" customHeight="1" x14ac:dyDescent="0.2">
      <c r="A840" s="3" t="s">
        <v>2314</v>
      </c>
      <c r="B840" s="3" t="s">
        <v>1391</v>
      </c>
      <c r="C840" s="3" t="s">
        <v>862</v>
      </c>
      <c r="D840" s="2"/>
      <c r="E840" s="2"/>
      <c r="F840" s="3"/>
    </row>
    <row r="841" spans="1:6" ht="15" customHeight="1" x14ac:dyDescent="0.2">
      <c r="A841" s="9" t="s">
        <v>2315</v>
      </c>
      <c r="B841" s="9" t="s">
        <v>2316</v>
      </c>
      <c r="C841" s="9" t="s">
        <v>862</v>
      </c>
      <c r="D841" s="8"/>
      <c r="E841" s="8"/>
      <c r="F841" s="9"/>
    </row>
    <row r="842" spans="1:6" ht="15" customHeight="1" x14ac:dyDescent="0.2">
      <c r="A842" s="3" t="s">
        <v>2317</v>
      </c>
      <c r="B842" s="3" t="s">
        <v>2290</v>
      </c>
      <c r="C842" s="3" t="s">
        <v>862</v>
      </c>
      <c r="D842" s="2"/>
      <c r="E842" s="2"/>
      <c r="F842" s="3"/>
    </row>
    <row r="843" spans="1:6" ht="15" customHeight="1" x14ac:dyDescent="0.2">
      <c r="A843" s="9" t="s">
        <v>2318</v>
      </c>
      <c r="B843" s="9" t="s">
        <v>2134</v>
      </c>
      <c r="C843" s="9" t="s">
        <v>862</v>
      </c>
      <c r="D843" s="8"/>
      <c r="E843" s="8"/>
      <c r="F843" s="9"/>
    </row>
    <row r="844" spans="1:6" ht="15" customHeight="1" x14ac:dyDescent="0.2">
      <c r="A844" s="3" t="s">
        <v>2319</v>
      </c>
      <c r="B844" s="3" t="s">
        <v>2158</v>
      </c>
      <c r="C844" s="3" t="s">
        <v>862</v>
      </c>
      <c r="D844" s="2"/>
      <c r="E844" s="2"/>
      <c r="F844" s="3"/>
    </row>
    <row r="845" spans="1:6" ht="15" customHeight="1" x14ac:dyDescent="0.2">
      <c r="A845" s="9" t="s">
        <v>2320</v>
      </c>
      <c r="B845" s="9" t="s">
        <v>2146</v>
      </c>
      <c r="C845" s="9" t="s">
        <v>862</v>
      </c>
      <c r="D845" s="8"/>
      <c r="E845" s="8"/>
      <c r="F845" s="9"/>
    </row>
    <row r="846" spans="1:6" ht="15" customHeight="1" x14ac:dyDescent="0.2">
      <c r="A846" s="3" t="s">
        <v>2321</v>
      </c>
      <c r="B846" s="3" t="s">
        <v>2322</v>
      </c>
      <c r="C846" s="3" t="s">
        <v>862</v>
      </c>
      <c r="D846" s="2"/>
      <c r="E846" s="2"/>
      <c r="F846" s="3"/>
    </row>
    <row r="847" spans="1:6" ht="15" customHeight="1" x14ac:dyDescent="0.2">
      <c r="A847" s="9" t="s">
        <v>2323</v>
      </c>
      <c r="B847" s="9" t="s">
        <v>1582</v>
      </c>
      <c r="C847" s="9" t="s">
        <v>862</v>
      </c>
      <c r="D847" s="8"/>
      <c r="E847" s="8"/>
      <c r="F847" s="9"/>
    </row>
    <row r="848" spans="1:6" ht="15" customHeight="1" x14ac:dyDescent="0.2">
      <c r="A848" s="3" t="s">
        <v>2324</v>
      </c>
      <c r="B848" s="3" t="s">
        <v>2127</v>
      </c>
      <c r="C848" s="3" t="s">
        <v>862</v>
      </c>
      <c r="D848" s="2"/>
      <c r="E848" s="2"/>
      <c r="F848" s="3"/>
    </row>
    <row r="849" spans="1:6" ht="15" customHeight="1" x14ac:dyDescent="0.2">
      <c r="A849" s="9" t="s">
        <v>2325</v>
      </c>
      <c r="B849" s="9" t="s">
        <v>1296</v>
      </c>
      <c r="C849" s="9" t="s">
        <v>862</v>
      </c>
      <c r="D849" s="8"/>
      <c r="E849" s="8"/>
      <c r="F849" s="9"/>
    </row>
    <row r="850" spans="1:6" ht="15" customHeight="1" x14ac:dyDescent="0.2">
      <c r="A850" s="3" t="s">
        <v>2326</v>
      </c>
      <c r="B850" s="3" t="s">
        <v>1610</v>
      </c>
      <c r="C850" s="3" t="s">
        <v>862</v>
      </c>
      <c r="D850" s="2"/>
      <c r="E850" s="2"/>
      <c r="F850" s="3"/>
    </row>
    <row r="851" spans="1:6" ht="15" customHeight="1" x14ac:dyDescent="0.2">
      <c r="A851" s="9" t="s">
        <v>2327</v>
      </c>
      <c r="B851" s="9" t="s">
        <v>1904</v>
      </c>
      <c r="C851" s="9" t="s">
        <v>862</v>
      </c>
      <c r="D851" s="8"/>
      <c r="E851" s="8"/>
      <c r="F851" s="9"/>
    </row>
    <row r="852" spans="1:6" ht="15" customHeight="1" x14ac:dyDescent="0.2">
      <c r="A852" s="3" t="s">
        <v>2328</v>
      </c>
      <c r="B852" s="3" t="s">
        <v>1371</v>
      </c>
      <c r="C852" s="3" t="s">
        <v>862</v>
      </c>
      <c r="D852" s="2"/>
      <c r="E852" s="2"/>
      <c r="F852" s="3"/>
    </row>
    <row r="853" spans="1:6" ht="15" customHeight="1" x14ac:dyDescent="0.2">
      <c r="A853" s="9" t="s">
        <v>2329</v>
      </c>
      <c r="B853" s="9" t="s">
        <v>1896</v>
      </c>
      <c r="C853" s="9" t="s">
        <v>862</v>
      </c>
      <c r="D853" s="8"/>
      <c r="E853" s="8"/>
      <c r="F853" s="9"/>
    </row>
    <row r="854" spans="1:6" ht="15" customHeight="1" x14ac:dyDescent="0.2">
      <c r="A854" s="3" t="s">
        <v>2330</v>
      </c>
      <c r="B854" s="3" t="s">
        <v>2331</v>
      </c>
      <c r="C854" s="3" t="s">
        <v>862</v>
      </c>
      <c r="D854" s="2"/>
      <c r="E854" s="2"/>
      <c r="F854" s="3"/>
    </row>
    <row r="855" spans="1:6" ht="15" customHeight="1" x14ac:dyDescent="0.2">
      <c r="A855" s="9" t="s">
        <v>2332</v>
      </c>
      <c r="B855" s="9" t="s">
        <v>1587</v>
      </c>
      <c r="C855" s="9" t="s">
        <v>862</v>
      </c>
      <c r="D855" s="8"/>
      <c r="E855" s="8"/>
      <c r="F855" s="9"/>
    </row>
    <row r="856" spans="1:6" ht="15" customHeight="1" x14ac:dyDescent="0.2">
      <c r="A856" s="3" t="s">
        <v>2333</v>
      </c>
      <c r="B856" s="3" t="s">
        <v>2241</v>
      </c>
      <c r="C856" s="3" t="s">
        <v>862</v>
      </c>
      <c r="D856" s="2"/>
      <c r="E856" s="2"/>
      <c r="F856" s="3"/>
    </row>
    <row r="857" spans="1:6" ht="15" customHeight="1" x14ac:dyDescent="0.2">
      <c r="A857" s="9" t="s">
        <v>2334</v>
      </c>
      <c r="B857" s="9" t="s">
        <v>2154</v>
      </c>
      <c r="C857" s="9" t="s">
        <v>862</v>
      </c>
      <c r="D857" s="8"/>
      <c r="E857" s="8"/>
      <c r="F857" s="9"/>
    </row>
    <row r="858" spans="1:6" ht="15" customHeight="1" x14ac:dyDescent="0.2">
      <c r="A858" s="3" t="s">
        <v>2335</v>
      </c>
      <c r="B858" s="3" t="s">
        <v>1512</v>
      </c>
      <c r="C858" s="3" t="s">
        <v>862</v>
      </c>
      <c r="D858" s="2"/>
      <c r="E858" s="2"/>
      <c r="F858" s="3"/>
    </row>
    <row r="859" spans="1:6" ht="15" customHeight="1" x14ac:dyDescent="0.2">
      <c r="A859" s="9" t="s">
        <v>2336</v>
      </c>
      <c r="B859" s="9" t="s">
        <v>1525</v>
      </c>
      <c r="C859" s="9" t="s">
        <v>862</v>
      </c>
      <c r="D859" s="8"/>
      <c r="E859" s="8"/>
      <c r="F859" s="9"/>
    </row>
    <row r="860" spans="1:6" ht="15" customHeight="1" x14ac:dyDescent="0.2">
      <c r="A860" s="3" t="s">
        <v>2337</v>
      </c>
      <c r="B860" s="3" t="s">
        <v>2338</v>
      </c>
      <c r="C860" s="3" t="s">
        <v>862</v>
      </c>
      <c r="D860" s="2"/>
      <c r="E860" s="2"/>
      <c r="F860" s="3"/>
    </row>
    <row r="861" spans="1:6" ht="15" customHeight="1" x14ac:dyDescent="0.2">
      <c r="A861" s="9" t="s">
        <v>2339</v>
      </c>
      <c r="B861" s="9" t="s">
        <v>1599</v>
      </c>
      <c r="C861" s="9" t="s">
        <v>862</v>
      </c>
      <c r="D861" s="8"/>
      <c r="E861" s="8"/>
      <c r="F861" s="9"/>
    </row>
    <row r="862" spans="1:6" ht="15" customHeight="1" x14ac:dyDescent="0.2">
      <c r="A862" s="3" t="s">
        <v>2340</v>
      </c>
      <c r="B862" s="3" t="s">
        <v>1379</v>
      </c>
      <c r="C862" s="3" t="s">
        <v>862</v>
      </c>
      <c r="D862" s="2"/>
      <c r="E862" s="2"/>
      <c r="F862" s="3"/>
    </row>
    <row r="863" spans="1:6" ht="15" customHeight="1" x14ac:dyDescent="0.2">
      <c r="A863" s="9" t="s">
        <v>2341</v>
      </c>
      <c r="B863" s="9" t="s">
        <v>1258</v>
      </c>
      <c r="C863" s="9" t="s">
        <v>862</v>
      </c>
      <c r="D863" s="8"/>
      <c r="E863" s="8"/>
      <c r="F863" s="9"/>
    </row>
    <row r="864" spans="1:6" ht="15" customHeight="1" x14ac:dyDescent="0.2">
      <c r="A864" s="3" t="s">
        <v>2342</v>
      </c>
      <c r="B864" s="3" t="s">
        <v>2343</v>
      </c>
      <c r="C864" s="3" t="s">
        <v>862</v>
      </c>
      <c r="D864" s="2"/>
      <c r="E864" s="2"/>
      <c r="F864" s="3"/>
    </row>
    <row r="865" spans="1:6" ht="15" customHeight="1" x14ac:dyDescent="0.2">
      <c r="A865" s="9" t="s">
        <v>2344</v>
      </c>
      <c r="B865" s="9" t="s">
        <v>2194</v>
      </c>
      <c r="C865" s="9" t="s">
        <v>862</v>
      </c>
      <c r="D865" s="8"/>
      <c r="E865" s="8"/>
      <c r="F865" s="9"/>
    </row>
    <row r="866" spans="1:6" ht="15" customHeight="1" x14ac:dyDescent="0.2">
      <c r="A866" s="3" t="s">
        <v>2345</v>
      </c>
      <c r="B866" s="3" t="s">
        <v>1310</v>
      </c>
      <c r="C866" s="3" t="s">
        <v>862</v>
      </c>
      <c r="D866" s="2"/>
      <c r="E866" s="2"/>
      <c r="F866" s="3"/>
    </row>
    <row r="867" spans="1:6" ht="15" customHeight="1" x14ac:dyDescent="0.2">
      <c r="A867" s="9" t="s">
        <v>2346</v>
      </c>
      <c r="B867" s="9" t="s">
        <v>1547</v>
      </c>
      <c r="C867" s="9" t="s">
        <v>862</v>
      </c>
      <c r="D867" s="8"/>
      <c r="E867" s="8"/>
      <c r="F867" s="9"/>
    </row>
    <row r="868" spans="1:6" ht="15" customHeight="1" x14ac:dyDescent="0.2">
      <c r="A868" s="3" t="s">
        <v>2347</v>
      </c>
      <c r="B868" s="3" t="s">
        <v>2023</v>
      </c>
      <c r="C868" s="3" t="s">
        <v>862</v>
      </c>
      <c r="D868" s="2"/>
      <c r="E868" s="2"/>
      <c r="F868" s="3"/>
    </row>
    <row r="869" spans="1:6" ht="15" customHeight="1" x14ac:dyDescent="0.2">
      <c r="A869" s="9" t="s">
        <v>2348</v>
      </c>
      <c r="B869" s="9" t="s">
        <v>2290</v>
      </c>
      <c r="C869" s="9" t="s">
        <v>862</v>
      </c>
      <c r="D869" s="8"/>
      <c r="E869" s="8"/>
      <c r="F869" s="9"/>
    </row>
    <row r="870" spans="1:6" ht="15" customHeight="1" x14ac:dyDescent="0.2">
      <c r="A870" s="3" t="s">
        <v>2349</v>
      </c>
      <c r="B870" s="3" t="s">
        <v>1883</v>
      </c>
      <c r="C870" s="3" t="s">
        <v>862</v>
      </c>
      <c r="D870" s="2"/>
      <c r="E870" s="2"/>
      <c r="F870" s="3"/>
    </row>
    <row r="871" spans="1:6" ht="15" customHeight="1" x14ac:dyDescent="0.2">
      <c r="A871" s="9" t="s">
        <v>2350</v>
      </c>
      <c r="B871" s="9" t="s">
        <v>2351</v>
      </c>
      <c r="C871" s="9" t="s">
        <v>862</v>
      </c>
      <c r="D871" s="8"/>
      <c r="E871" s="8"/>
      <c r="F871" s="9"/>
    </row>
    <row r="872" spans="1:6" ht="15" customHeight="1" x14ac:dyDescent="0.2">
      <c r="A872" s="3" t="s">
        <v>2352</v>
      </c>
      <c r="B872" s="3" t="s">
        <v>1684</v>
      </c>
      <c r="C872" s="3" t="s">
        <v>862</v>
      </c>
      <c r="D872" s="2"/>
      <c r="E872" s="2"/>
      <c r="F872" s="3"/>
    </row>
    <row r="873" spans="1:6" ht="15" customHeight="1" x14ac:dyDescent="0.2">
      <c r="A873" s="9" t="s">
        <v>2353</v>
      </c>
      <c r="B873" s="9" t="s">
        <v>1498</v>
      </c>
      <c r="C873" s="9" t="s">
        <v>862</v>
      </c>
      <c r="D873" s="8"/>
      <c r="E873" s="8"/>
      <c r="F873" s="9"/>
    </row>
    <row r="874" spans="1:6" ht="15" customHeight="1" x14ac:dyDescent="0.2">
      <c r="A874" s="3" t="s">
        <v>2354</v>
      </c>
      <c r="B874" s="3" t="s">
        <v>1698</v>
      </c>
      <c r="C874" s="3" t="s">
        <v>862</v>
      </c>
      <c r="D874" s="2"/>
      <c r="E874" s="2"/>
      <c r="F874" s="3"/>
    </row>
    <row r="875" spans="1:6" ht="15" customHeight="1" x14ac:dyDescent="0.2">
      <c r="A875" s="9" t="s">
        <v>2355</v>
      </c>
      <c r="B875" s="9" t="s">
        <v>1266</v>
      </c>
      <c r="C875" s="9" t="s">
        <v>862</v>
      </c>
      <c r="D875" s="8"/>
      <c r="E875" s="8"/>
      <c r="F875" s="9"/>
    </row>
    <row r="876" spans="1:6" ht="15" customHeight="1" x14ac:dyDescent="0.2">
      <c r="A876" s="3" t="s">
        <v>2356</v>
      </c>
      <c r="B876" s="3" t="s">
        <v>2357</v>
      </c>
      <c r="C876" s="3" t="s">
        <v>862</v>
      </c>
      <c r="D876" s="2"/>
      <c r="E876" s="2"/>
      <c r="F876" s="3"/>
    </row>
    <row r="877" spans="1:6" ht="15" customHeight="1" x14ac:dyDescent="0.2">
      <c r="A877" s="9" t="s">
        <v>2358</v>
      </c>
      <c r="B877" s="9" t="s">
        <v>2359</v>
      </c>
      <c r="C877" s="9" t="s">
        <v>862</v>
      </c>
      <c r="D877" s="8"/>
      <c r="E877" s="8"/>
      <c r="F877" s="9"/>
    </row>
    <row r="878" spans="1:6" ht="15" customHeight="1" x14ac:dyDescent="0.2">
      <c r="A878" s="3" t="s">
        <v>2360</v>
      </c>
      <c r="B878" s="3" t="s">
        <v>1236</v>
      </c>
      <c r="C878" s="3" t="s">
        <v>862</v>
      </c>
      <c r="D878" s="2"/>
      <c r="E878" s="2"/>
      <c r="F878" s="3"/>
    </row>
    <row r="879" spans="1:6" ht="15" customHeight="1" x14ac:dyDescent="0.2">
      <c r="A879" s="9" t="s">
        <v>2361</v>
      </c>
      <c r="B879" s="9" t="s">
        <v>2362</v>
      </c>
      <c r="C879" s="9" t="s">
        <v>862</v>
      </c>
      <c r="D879" s="8"/>
      <c r="E879" s="8"/>
      <c r="F879" s="9"/>
    </row>
    <row r="880" spans="1:6" ht="15" customHeight="1" x14ac:dyDescent="0.2">
      <c r="A880" s="3" t="s">
        <v>2363</v>
      </c>
      <c r="B880" s="3" t="s">
        <v>1842</v>
      </c>
      <c r="C880" s="3" t="s">
        <v>862</v>
      </c>
      <c r="D880" s="2"/>
      <c r="E880" s="2"/>
      <c r="F880" s="3"/>
    </row>
    <row r="881" spans="1:6" ht="15" customHeight="1" x14ac:dyDescent="0.2">
      <c r="A881" s="9" t="s">
        <v>2364</v>
      </c>
      <c r="B881" s="9" t="s">
        <v>2365</v>
      </c>
      <c r="C881" s="9" t="s">
        <v>862</v>
      </c>
      <c r="D881" s="8"/>
      <c r="E881" s="8"/>
      <c r="F881" s="9"/>
    </row>
    <row r="882" spans="1:6" ht="15" customHeight="1" x14ac:dyDescent="0.2">
      <c r="A882" s="3" t="s">
        <v>2366</v>
      </c>
      <c r="B882" s="3" t="s">
        <v>2033</v>
      </c>
      <c r="C882" s="3" t="s">
        <v>862</v>
      </c>
      <c r="D882" s="2"/>
      <c r="E882" s="2"/>
      <c r="F882" s="3"/>
    </row>
    <row r="883" spans="1:6" ht="15" customHeight="1" x14ac:dyDescent="0.2">
      <c r="A883" s="9" t="s">
        <v>2367</v>
      </c>
      <c r="B883" s="9" t="s">
        <v>2368</v>
      </c>
      <c r="C883" s="9" t="s">
        <v>862</v>
      </c>
      <c r="D883" s="8"/>
      <c r="E883" s="8"/>
      <c r="F883" s="9"/>
    </row>
    <row r="884" spans="1:6" ht="15" customHeight="1" x14ac:dyDescent="0.2">
      <c r="A884" s="3" t="s">
        <v>2369</v>
      </c>
      <c r="B884" s="3" t="s">
        <v>1580</v>
      </c>
      <c r="C884" s="3" t="s">
        <v>862</v>
      </c>
      <c r="D884" s="2"/>
      <c r="E884" s="2"/>
      <c r="F884" s="3"/>
    </row>
    <row r="885" spans="1:6" ht="15" customHeight="1" x14ac:dyDescent="0.2">
      <c r="A885" s="9" t="s">
        <v>2370</v>
      </c>
      <c r="B885" s="9" t="s">
        <v>2371</v>
      </c>
      <c r="C885" s="9" t="s">
        <v>862</v>
      </c>
      <c r="D885" s="8"/>
      <c r="E885" s="8"/>
      <c r="F885" s="9"/>
    </row>
    <row r="886" spans="1:6" ht="15" customHeight="1" x14ac:dyDescent="0.2">
      <c r="A886" s="3" t="s">
        <v>2372</v>
      </c>
      <c r="B886" s="3" t="s">
        <v>2373</v>
      </c>
      <c r="C886" s="3" t="s">
        <v>862</v>
      </c>
      <c r="D886" s="2"/>
      <c r="E886" s="2"/>
      <c r="F886" s="3"/>
    </row>
    <row r="887" spans="1:6" ht="15" customHeight="1" x14ac:dyDescent="0.2">
      <c r="A887" s="9" t="s">
        <v>2374</v>
      </c>
      <c r="B887" s="9" t="s">
        <v>1875</v>
      </c>
      <c r="C887" s="9" t="s">
        <v>862</v>
      </c>
      <c r="D887" s="8"/>
      <c r="E887" s="8"/>
      <c r="F887" s="9"/>
    </row>
    <row r="888" spans="1:6" ht="15" customHeight="1" x14ac:dyDescent="0.2">
      <c r="A888" s="3" t="s">
        <v>2375</v>
      </c>
      <c r="B888" s="3" t="s">
        <v>2376</v>
      </c>
      <c r="C888" s="3" t="s">
        <v>862</v>
      </c>
      <c r="D888" s="2"/>
      <c r="E888" s="2"/>
      <c r="F888" s="3"/>
    </row>
    <row r="889" spans="1:6" ht="15" customHeight="1" x14ac:dyDescent="0.2">
      <c r="A889" s="9" t="s">
        <v>2377</v>
      </c>
      <c r="B889" s="9" t="s">
        <v>1230</v>
      </c>
      <c r="C889" s="9" t="s">
        <v>862</v>
      </c>
      <c r="D889" s="8"/>
      <c r="E889" s="8"/>
      <c r="F889" s="9"/>
    </row>
    <row r="890" spans="1:6" ht="15" customHeight="1" x14ac:dyDescent="0.2">
      <c r="A890" s="3" t="s">
        <v>2378</v>
      </c>
      <c r="B890" s="3" t="s">
        <v>1945</v>
      </c>
      <c r="C890" s="3" t="s">
        <v>862</v>
      </c>
      <c r="D890" s="2"/>
      <c r="E890" s="2"/>
      <c r="F890" s="3"/>
    </row>
    <row r="891" spans="1:6" ht="15" customHeight="1" x14ac:dyDescent="0.2">
      <c r="A891" s="9" t="s">
        <v>2379</v>
      </c>
      <c r="B891" s="9" t="s">
        <v>1819</v>
      </c>
      <c r="C891" s="9" t="s">
        <v>862</v>
      </c>
      <c r="D891" s="8"/>
      <c r="E891" s="8"/>
      <c r="F891" s="9"/>
    </row>
    <row r="892" spans="1:6" ht="15" customHeight="1" x14ac:dyDescent="0.2">
      <c r="A892" s="3" t="s">
        <v>2380</v>
      </c>
      <c r="B892" s="3" t="s">
        <v>2381</v>
      </c>
      <c r="C892" s="3" t="s">
        <v>862</v>
      </c>
      <c r="D892" s="2"/>
      <c r="E892" s="2"/>
      <c r="F892" s="3"/>
    </row>
    <row r="893" spans="1:6" ht="15" customHeight="1" x14ac:dyDescent="0.2">
      <c r="A893" s="9" t="s">
        <v>2382</v>
      </c>
      <c r="B893" s="9" t="s">
        <v>2383</v>
      </c>
      <c r="C893" s="9" t="s">
        <v>862</v>
      </c>
      <c r="D893" s="8"/>
      <c r="E893" s="8"/>
      <c r="F893" s="9"/>
    </row>
    <row r="894" spans="1:6" ht="15" customHeight="1" x14ac:dyDescent="0.2">
      <c r="A894" s="3" t="s">
        <v>2384</v>
      </c>
      <c r="B894" s="3" t="s">
        <v>1990</v>
      </c>
      <c r="C894" s="3" t="s">
        <v>862</v>
      </c>
      <c r="D894" s="2"/>
      <c r="E894" s="2"/>
      <c r="F894" s="3"/>
    </row>
    <row r="895" spans="1:6" ht="15" customHeight="1" x14ac:dyDescent="0.2">
      <c r="A895" s="9" t="s">
        <v>2385</v>
      </c>
      <c r="B895" s="9" t="s">
        <v>1749</v>
      </c>
      <c r="C895" s="9" t="s">
        <v>862</v>
      </c>
      <c r="D895" s="8"/>
      <c r="E895" s="8"/>
      <c r="F895" s="9"/>
    </row>
    <row r="896" spans="1:6" ht="15" customHeight="1" x14ac:dyDescent="0.2">
      <c r="A896" s="3" t="s">
        <v>2386</v>
      </c>
      <c r="B896" s="3" t="s">
        <v>1268</v>
      </c>
      <c r="C896" s="3" t="s">
        <v>862</v>
      </c>
      <c r="D896" s="2"/>
      <c r="E896" s="2"/>
      <c r="F896" s="3"/>
    </row>
    <row r="897" spans="1:6" ht="15" customHeight="1" x14ac:dyDescent="0.2">
      <c r="A897" s="9" t="s">
        <v>2387</v>
      </c>
      <c r="B897" s="9" t="s">
        <v>1246</v>
      </c>
      <c r="C897" s="9" t="s">
        <v>862</v>
      </c>
      <c r="D897" s="8"/>
      <c r="E897" s="8"/>
      <c r="F897" s="9"/>
    </row>
    <row r="898" spans="1:6" ht="15" customHeight="1" x14ac:dyDescent="0.2">
      <c r="A898" s="3" t="s">
        <v>2388</v>
      </c>
      <c r="B898" s="3" t="s">
        <v>1226</v>
      </c>
      <c r="C898" s="3" t="s">
        <v>862</v>
      </c>
      <c r="D898" s="2"/>
      <c r="E898" s="2"/>
      <c r="F898" s="3"/>
    </row>
    <row r="899" spans="1:6" ht="15" customHeight="1" x14ac:dyDescent="0.2">
      <c r="A899" s="9" t="s">
        <v>2389</v>
      </c>
      <c r="B899" s="9" t="s">
        <v>1325</v>
      </c>
      <c r="C899" s="9" t="s">
        <v>862</v>
      </c>
      <c r="D899" s="8"/>
      <c r="E899" s="8"/>
      <c r="F899" s="9"/>
    </row>
    <row r="900" spans="1:6" ht="15" customHeight="1" x14ac:dyDescent="0.2">
      <c r="A900" s="3" t="s">
        <v>2390</v>
      </c>
      <c r="B900" s="3" t="s">
        <v>1284</v>
      </c>
      <c r="C900" s="3" t="s">
        <v>862</v>
      </c>
      <c r="D900" s="2"/>
      <c r="E900" s="2"/>
      <c r="F900" s="3"/>
    </row>
    <row r="901" spans="1:6" ht="15" customHeight="1" x14ac:dyDescent="0.2">
      <c r="A901" s="9" t="s">
        <v>2391</v>
      </c>
      <c r="B901" s="9" t="s">
        <v>1974</v>
      </c>
      <c r="C901" s="9" t="s">
        <v>862</v>
      </c>
      <c r="D901" s="8"/>
      <c r="E901" s="8"/>
      <c r="F901" s="9"/>
    </row>
    <row r="902" spans="1:6" ht="15" customHeight="1" x14ac:dyDescent="0.2">
      <c r="A902" s="3" t="s">
        <v>2392</v>
      </c>
      <c r="B902" s="3" t="s">
        <v>1711</v>
      </c>
      <c r="C902" s="3" t="s">
        <v>862</v>
      </c>
      <c r="D902" s="2"/>
      <c r="E902" s="2"/>
      <c r="F902" s="3"/>
    </row>
    <row r="903" spans="1:6" ht="15" customHeight="1" x14ac:dyDescent="0.2">
      <c r="A903" s="9" t="s">
        <v>2393</v>
      </c>
      <c r="B903" s="9" t="s">
        <v>2394</v>
      </c>
      <c r="C903" s="9" t="s">
        <v>862</v>
      </c>
      <c r="D903" s="8"/>
      <c r="E903" s="8"/>
      <c r="F903" s="9"/>
    </row>
    <row r="904" spans="1:6" ht="15" customHeight="1" x14ac:dyDescent="0.2">
      <c r="A904" s="3" t="s">
        <v>2395</v>
      </c>
      <c r="B904" s="3" t="s">
        <v>2181</v>
      </c>
      <c r="C904" s="3" t="s">
        <v>862</v>
      </c>
      <c r="D904" s="2"/>
      <c r="E904" s="2"/>
      <c r="F904" s="3"/>
    </row>
    <row r="905" spans="1:6" ht="15" customHeight="1" x14ac:dyDescent="0.2">
      <c r="A905" s="9" t="s">
        <v>2396</v>
      </c>
      <c r="B905" s="9" t="s">
        <v>2397</v>
      </c>
      <c r="C905" s="9" t="s">
        <v>862</v>
      </c>
      <c r="D905" s="8"/>
      <c r="E905" s="8"/>
      <c r="F905" s="9"/>
    </row>
    <row r="906" spans="1:6" ht="15" customHeight="1" x14ac:dyDescent="0.2">
      <c r="A906" s="3" t="s">
        <v>2398</v>
      </c>
      <c r="B906" s="3" t="s">
        <v>1622</v>
      </c>
      <c r="C906" s="3" t="s">
        <v>862</v>
      </c>
      <c r="D906" s="2"/>
      <c r="E906" s="2"/>
      <c r="F906" s="3"/>
    </row>
    <row r="907" spans="1:6" ht="15" customHeight="1" x14ac:dyDescent="0.2">
      <c r="A907" s="9" t="s">
        <v>2399</v>
      </c>
      <c r="B907" s="9" t="s">
        <v>2400</v>
      </c>
      <c r="C907" s="9" t="s">
        <v>862</v>
      </c>
      <c r="D907" s="8"/>
      <c r="E907" s="8"/>
      <c r="F907" s="9"/>
    </row>
    <row r="908" spans="1:6" ht="15" customHeight="1" x14ac:dyDescent="0.2">
      <c r="A908" s="3" t="s">
        <v>2401</v>
      </c>
      <c r="B908" s="3" t="s">
        <v>2250</v>
      </c>
      <c r="C908" s="3" t="s">
        <v>862</v>
      </c>
      <c r="D908" s="2"/>
      <c r="E908" s="2"/>
      <c r="F908" s="3"/>
    </row>
    <row r="909" spans="1:6" ht="15" customHeight="1" x14ac:dyDescent="0.2">
      <c r="A909" s="9" t="s">
        <v>2402</v>
      </c>
      <c r="B909" s="9" t="s">
        <v>2403</v>
      </c>
      <c r="C909" s="9" t="s">
        <v>862</v>
      </c>
      <c r="D909" s="8"/>
      <c r="E909" s="8"/>
      <c r="F909" s="9"/>
    </row>
    <row r="910" spans="1:6" ht="15" customHeight="1" x14ac:dyDescent="0.2">
      <c r="A910" s="3" t="s">
        <v>2404</v>
      </c>
      <c r="B910" s="3" t="s">
        <v>1563</v>
      </c>
      <c r="C910" s="3" t="s">
        <v>862</v>
      </c>
      <c r="D910" s="2"/>
      <c r="E910" s="2"/>
      <c r="F910" s="3"/>
    </row>
    <row r="911" spans="1:6" ht="15" customHeight="1" x14ac:dyDescent="0.2">
      <c r="A911" s="9" t="s">
        <v>2405</v>
      </c>
      <c r="B911" s="9" t="s">
        <v>2406</v>
      </c>
      <c r="C911" s="9" t="s">
        <v>862</v>
      </c>
      <c r="D911" s="8"/>
      <c r="E911" s="8"/>
      <c r="F911" s="9"/>
    </row>
    <row r="912" spans="1:6" ht="15" customHeight="1" x14ac:dyDescent="0.2">
      <c r="A912" s="3" t="s">
        <v>2407</v>
      </c>
      <c r="B912" s="3" t="s">
        <v>1715</v>
      </c>
      <c r="C912" s="3" t="s">
        <v>862</v>
      </c>
      <c r="D912" s="2"/>
      <c r="E912" s="2"/>
      <c r="F912" s="3"/>
    </row>
    <row r="913" spans="1:6" ht="15" customHeight="1" x14ac:dyDescent="0.2">
      <c r="A913" s="9" t="s">
        <v>2408</v>
      </c>
      <c r="B913" s="9" t="s">
        <v>2021</v>
      </c>
      <c r="C913" s="9" t="s">
        <v>862</v>
      </c>
      <c r="D913" s="8"/>
      <c r="E913" s="8"/>
      <c r="F913" s="9"/>
    </row>
    <row r="914" spans="1:6" ht="15" customHeight="1" x14ac:dyDescent="0.2">
      <c r="A914" s="3" t="s">
        <v>2409</v>
      </c>
      <c r="B914" s="3" t="s">
        <v>2410</v>
      </c>
      <c r="C914" s="3" t="s">
        <v>862</v>
      </c>
      <c r="D914" s="2"/>
      <c r="E914" s="2"/>
      <c r="F914" s="3"/>
    </row>
    <row r="915" spans="1:6" ht="15" customHeight="1" x14ac:dyDescent="0.2">
      <c r="A915" s="9" t="s">
        <v>2411</v>
      </c>
      <c r="B915" s="9" t="s">
        <v>2412</v>
      </c>
      <c r="C915" s="9" t="s">
        <v>862</v>
      </c>
      <c r="D915" s="8"/>
      <c r="E915" s="8"/>
      <c r="F915" s="9"/>
    </row>
    <row r="916" spans="1:6" ht="15" customHeight="1" x14ac:dyDescent="0.2">
      <c r="A916" s="3" t="s">
        <v>2413</v>
      </c>
      <c r="B916" s="3" t="s">
        <v>2414</v>
      </c>
      <c r="C916" s="3" t="s">
        <v>862</v>
      </c>
      <c r="D916" s="2"/>
      <c r="E916" s="2"/>
      <c r="F916" s="3"/>
    </row>
    <row r="917" spans="1:6" ht="15" customHeight="1" x14ac:dyDescent="0.2">
      <c r="A917" s="9" t="s">
        <v>2415</v>
      </c>
      <c r="B917" s="9" t="s">
        <v>2416</v>
      </c>
      <c r="C917" s="9" t="s">
        <v>862</v>
      </c>
      <c r="D917" s="8"/>
      <c r="E917" s="8"/>
      <c r="F917" s="9"/>
    </row>
    <row r="918" spans="1:6" ht="15" customHeight="1" x14ac:dyDescent="0.2">
      <c r="A918" s="3" t="s">
        <v>2417</v>
      </c>
      <c r="B918" s="3" t="s">
        <v>2418</v>
      </c>
      <c r="C918" s="3" t="s">
        <v>862</v>
      </c>
      <c r="D918" s="2"/>
      <c r="E918" s="2"/>
      <c r="F918" s="3"/>
    </row>
    <row r="919" spans="1:6" ht="15" customHeight="1" x14ac:dyDescent="0.2">
      <c r="A919" s="9" t="s">
        <v>2419</v>
      </c>
      <c r="B919" s="9" t="s">
        <v>1881</v>
      </c>
      <c r="C919" s="9" t="s">
        <v>862</v>
      </c>
      <c r="D919" s="8"/>
      <c r="E919" s="8"/>
      <c r="F919" s="9"/>
    </row>
    <row r="920" spans="1:6" ht="15" customHeight="1" x14ac:dyDescent="0.2">
      <c r="A920" s="3" t="s">
        <v>2420</v>
      </c>
      <c r="B920" s="3" t="s">
        <v>2421</v>
      </c>
      <c r="C920" s="3" t="s">
        <v>862</v>
      </c>
      <c r="D920" s="2"/>
      <c r="E920" s="2"/>
      <c r="F920" s="3"/>
    </row>
    <row r="921" spans="1:6" ht="15" customHeight="1" x14ac:dyDescent="0.2">
      <c r="A921" s="9" t="s">
        <v>2422</v>
      </c>
      <c r="B921" s="9" t="s">
        <v>2423</v>
      </c>
      <c r="C921" s="9" t="s">
        <v>862</v>
      </c>
      <c r="D921" s="8"/>
      <c r="E921" s="8"/>
      <c r="F921" s="9"/>
    </row>
    <row r="922" spans="1:6" ht="15" customHeight="1" x14ac:dyDescent="0.2">
      <c r="A922" s="3" t="s">
        <v>2424</v>
      </c>
      <c r="B922" s="3" t="s">
        <v>1828</v>
      </c>
      <c r="C922" s="3" t="s">
        <v>862</v>
      </c>
      <c r="D922" s="2"/>
      <c r="E922" s="2"/>
      <c r="F922" s="3"/>
    </row>
    <row r="923" spans="1:6" ht="15" customHeight="1" x14ac:dyDescent="0.2">
      <c r="A923" s="9" t="s">
        <v>2425</v>
      </c>
      <c r="B923" s="9" t="s">
        <v>2058</v>
      </c>
      <c r="C923" s="9" t="s">
        <v>862</v>
      </c>
      <c r="D923" s="8"/>
      <c r="E923" s="8"/>
      <c r="F923" s="9"/>
    </row>
    <row r="924" spans="1:6" ht="15" customHeight="1" x14ac:dyDescent="0.2">
      <c r="A924" s="3" t="s">
        <v>2426</v>
      </c>
      <c r="B924" s="3" t="s">
        <v>2427</v>
      </c>
      <c r="C924" s="3" t="s">
        <v>862</v>
      </c>
      <c r="D924" s="2"/>
      <c r="E924" s="2"/>
      <c r="F924" s="3"/>
    </row>
    <row r="925" spans="1:6" ht="15" customHeight="1" x14ac:dyDescent="0.2">
      <c r="A925" s="9" t="s">
        <v>2428</v>
      </c>
      <c r="B925" s="9" t="s">
        <v>1779</v>
      </c>
      <c r="C925" s="9" t="s">
        <v>862</v>
      </c>
      <c r="D925" s="8"/>
      <c r="E925" s="8"/>
      <c r="F925" s="9"/>
    </row>
    <row r="926" spans="1:6" ht="15" customHeight="1" x14ac:dyDescent="0.2">
      <c r="A926" s="3" t="s">
        <v>2429</v>
      </c>
      <c r="B926" s="3" t="s">
        <v>2430</v>
      </c>
      <c r="C926" s="3" t="s">
        <v>862</v>
      </c>
      <c r="D926" s="2"/>
      <c r="E926" s="2"/>
      <c r="F926" s="3"/>
    </row>
    <row r="927" spans="1:6" ht="15" customHeight="1" x14ac:dyDescent="0.2">
      <c r="A927" s="9" t="s">
        <v>2431</v>
      </c>
      <c r="B927" s="9" t="s">
        <v>1286</v>
      </c>
      <c r="C927" s="9" t="s">
        <v>862</v>
      </c>
      <c r="D927" s="8"/>
      <c r="E927" s="8"/>
      <c r="F927" s="9"/>
    </row>
    <row r="928" spans="1:6" ht="15" customHeight="1" x14ac:dyDescent="0.2">
      <c r="A928" s="3" t="s">
        <v>2432</v>
      </c>
      <c r="B928" s="3" t="s">
        <v>2433</v>
      </c>
      <c r="C928" s="3" t="s">
        <v>862</v>
      </c>
      <c r="D928" s="2"/>
      <c r="E928" s="2"/>
      <c r="F928" s="3"/>
    </row>
    <row r="929" spans="1:6" ht="15" customHeight="1" x14ac:dyDescent="0.2">
      <c r="A929" s="9" t="s">
        <v>2434</v>
      </c>
      <c r="B929" s="9" t="s">
        <v>2435</v>
      </c>
      <c r="C929" s="9" t="s">
        <v>862</v>
      </c>
      <c r="D929" s="8"/>
      <c r="E929" s="8"/>
      <c r="F929" s="9"/>
    </row>
    <row r="930" spans="1:6" ht="15" customHeight="1" x14ac:dyDescent="0.2">
      <c r="A930" s="3" t="s">
        <v>2436</v>
      </c>
      <c r="B930" s="3" t="s">
        <v>2433</v>
      </c>
      <c r="C930" s="3" t="s">
        <v>862</v>
      </c>
      <c r="D930" s="2"/>
      <c r="E930" s="2"/>
      <c r="F930" s="3"/>
    </row>
    <row r="931" spans="1:6" ht="15" customHeight="1" x14ac:dyDescent="0.2">
      <c r="A931" s="9" t="s">
        <v>2437</v>
      </c>
      <c r="B931" s="9" t="s">
        <v>2438</v>
      </c>
      <c r="C931" s="9" t="s">
        <v>862</v>
      </c>
      <c r="D931" s="8"/>
      <c r="E931" s="8"/>
      <c r="F931" s="9"/>
    </row>
    <row r="932" spans="1:6" ht="15" customHeight="1" x14ac:dyDescent="0.2">
      <c r="A932" s="3" t="s">
        <v>2439</v>
      </c>
      <c r="B932" s="3" t="s">
        <v>2440</v>
      </c>
      <c r="C932" s="3" t="s">
        <v>862</v>
      </c>
      <c r="D932" s="2"/>
      <c r="E932" s="2"/>
      <c r="F932" s="3"/>
    </row>
    <row r="933" spans="1:6" ht="15" customHeight="1" x14ac:dyDescent="0.2">
      <c r="A933" s="9" t="s">
        <v>2441</v>
      </c>
      <c r="B933" s="9" t="s">
        <v>2001</v>
      </c>
      <c r="C933" s="9" t="s">
        <v>862</v>
      </c>
      <c r="D933" s="8"/>
      <c r="E933" s="8"/>
      <c r="F933" s="9"/>
    </row>
    <row r="934" spans="1:6" ht="15" customHeight="1" x14ac:dyDescent="0.2">
      <c r="A934" s="3" t="s">
        <v>2442</v>
      </c>
      <c r="B934" s="3" t="s">
        <v>2443</v>
      </c>
      <c r="C934" s="3" t="s">
        <v>862</v>
      </c>
      <c r="D934" s="2"/>
      <c r="E934" s="2"/>
      <c r="F934" s="3"/>
    </row>
    <row r="935" spans="1:6" ht="15" customHeight="1" x14ac:dyDescent="0.2">
      <c r="A935" s="9" t="s">
        <v>2444</v>
      </c>
      <c r="B935" s="9" t="s">
        <v>1572</v>
      </c>
      <c r="C935" s="9" t="s">
        <v>862</v>
      </c>
      <c r="D935" s="8"/>
      <c r="E935" s="8"/>
      <c r="F935" s="9"/>
    </row>
    <row r="936" spans="1:6" ht="15" customHeight="1" x14ac:dyDescent="0.2">
      <c r="A936" s="3" t="s">
        <v>2445</v>
      </c>
      <c r="B936" s="3" t="s">
        <v>2446</v>
      </c>
      <c r="C936" s="3" t="s">
        <v>862</v>
      </c>
      <c r="D936" s="2"/>
      <c r="E936" s="2"/>
      <c r="F936" s="3"/>
    </row>
    <row r="937" spans="1:6" ht="15" customHeight="1" x14ac:dyDescent="0.2">
      <c r="A937" s="9" t="s">
        <v>2447</v>
      </c>
      <c r="B937" s="9" t="s">
        <v>1240</v>
      </c>
      <c r="C937" s="9" t="s">
        <v>862</v>
      </c>
      <c r="D937" s="8"/>
      <c r="E937" s="8"/>
      <c r="F937" s="9"/>
    </row>
    <row r="938" spans="1:6" ht="15" customHeight="1" x14ac:dyDescent="0.2">
      <c r="A938" s="3" t="s">
        <v>2448</v>
      </c>
      <c r="B938" s="3" t="s">
        <v>2263</v>
      </c>
      <c r="C938" s="3" t="s">
        <v>862</v>
      </c>
      <c r="D938" s="2"/>
      <c r="E938" s="2"/>
      <c r="F938" s="3"/>
    </row>
    <row r="939" spans="1:6" ht="15" customHeight="1" x14ac:dyDescent="0.2">
      <c r="A939" s="9" t="s">
        <v>2449</v>
      </c>
      <c r="B939" s="9" t="s">
        <v>2365</v>
      </c>
      <c r="C939" s="9" t="s">
        <v>862</v>
      </c>
      <c r="D939" s="8"/>
      <c r="E939" s="8"/>
      <c r="F939" s="9"/>
    </row>
    <row r="940" spans="1:6" ht="15" customHeight="1" x14ac:dyDescent="0.2">
      <c r="A940" s="3" t="s">
        <v>2450</v>
      </c>
      <c r="B940" s="3" t="s">
        <v>2451</v>
      </c>
      <c r="C940" s="3" t="s">
        <v>862</v>
      </c>
      <c r="D940" s="2"/>
      <c r="E940" s="2"/>
      <c r="F940" s="3"/>
    </row>
    <row r="941" spans="1:6" ht="15" customHeight="1" x14ac:dyDescent="0.2">
      <c r="A941" s="9" t="s">
        <v>2452</v>
      </c>
      <c r="B941" s="9" t="s">
        <v>2050</v>
      </c>
      <c r="C941" s="9" t="s">
        <v>862</v>
      </c>
      <c r="D941" s="8"/>
      <c r="E941" s="8"/>
      <c r="F941" s="9"/>
    </row>
    <row r="942" spans="1:6" ht="15" customHeight="1" x14ac:dyDescent="0.2">
      <c r="A942" s="3" t="s">
        <v>2453</v>
      </c>
      <c r="B942" s="3" t="s">
        <v>1475</v>
      </c>
      <c r="C942" s="3" t="s">
        <v>862</v>
      </c>
      <c r="D942" s="2"/>
      <c r="E942" s="2"/>
      <c r="F942" s="3"/>
    </row>
    <row r="943" spans="1:6" ht="15" customHeight="1" x14ac:dyDescent="0.2">
      <c r="A943" s="9" t="s">
        <v>2454</v>
      </c>
      <c r="B943" s="9" t="s">
        <v>2455</v>
      </c>
      <c r="C943" s="9" t="s">
        <v>862</v>
      </c>
      <c r="D943" s="8"/>
      <c r="E943" s="8"/>
      <c r="F943" s="9"/>
    </row>
    <row r="944" spans="1:6" ht="15" customHeight="1" x14ac:dyDescent="0.2">
      <c r="A944" s="3" t="s">
        <v>2456</v>
      </c>
      <c r="B944" s="3" t="s">
        <v>1451</v>
      </c>
      <c r="C944" s="3" t="s">
        <v>862</v>
      </c>
      <c r="D944" s="2"/>
      <c r="E944" s="2"/>
      <c r="F944" s="3"/>
    </row>
    <row r="945" spans="1:6" ht="15" customHeight="1" x14ac:dyDescent="0.2">
      <c r="A945" s="9" t="s">
        <v>2457</v>
      </c>
      <c r="B945" s="9" t="s">
        <v>1558</v>
      </c>
      <c r="C945" s="9" t="s">
        <v>862</v>
      </c>
      <c r="D945" s="8"/>
      <c r="E945" s="8"/>
      <c r="F945" s="9"/>
    </row>
    <row r="946" spans="1:6" ht="15" customHeight="1" x14ac:dyDescent="0.2">
      <c r="A946" s="3" t="s">
        <v>2458</v>
      </c>
      <c r="B946" s="3" t="s">
        <v>2035</v>
      </c>
      <c r="C946" s="3" t="s">
        <v>862</v>
      </c>
      <c r="D946" s="2"/>
      <c r="E946" s="2"/>
      <c r="F946" s="3"/>
    </row>
    <row r="947" spans="1:6" ht="15" customHeight="1" x14ac:dyDescent="0.2">
      <c r="A947" s="9" t="s">
        <v>2459</v>
      </c>
      <c r="B947" s="9" t="s">
        <v>2460</v>
      </c>
      <c r="C947" s="9" t="s">
        <v>862</v>
      </c>
      <c r="D947" s="8"/>
      <c r="E947" s="8"/>
      <c r="F947" s="9"/>
    </row>
    <row r="948" spans="1:6" ht="15" customHeight="1" x14ac:dyDescent="0.2">
      <c r="A948" s="3" t="s">
        <v>2461</v>
      </c>
      <c r="B948" s="3" t="s">
        <v>2462</v>
      </c>
      <c r="C948" s="3" t="s">
        <v>862</v>
      </c>
      <c r="D948" s="2"/>
      <c r="E948" s="2"/>
      <c r="F948" s="3"/>
    </row>
    <row r="949" spans="1:6" ht="15" customHeight="1" x14ac:dyDescent="0.2">
      <c r="A949" s="9" t="s">
        <v>2463</v>
      </c>
      <c r="B949" s="9" t="s">
        <v>2464</v>
      </c>
      <c r="C949" s="9" t="s">
        <v>862</v>
      </c>
      <c r="D949" s="8"/>
      <c r="E949" s="8"/>
      <c r="F949" s="9"/>
    </row>
    <row r="950" spans="1:6" ht="15" customHeight="1" x14ac:dyDescent="0.2">
      <c r="A950" s="3" t="s">
        <v>2465</v>
      </c>
      <c r="B950" s="3" t="s">
        <v>2466</v>
      </c>
      <c r="C950" s="3" t="s">
        <v>862</v>
      </c>
      <c r="D950" s="2"/>
      <c r="E950" s="2"/>
      <c r="F950" s="3"/>
    </row>
    <row r="951" spans="1:6" ht="15" customHeight="1" x14ac:dyDescent="0.2">
      <c r="A951" s="9" t="s">
        <v>2467</v>
      </c>
      <c r="B951" s="9" t="s">
        <v>2065</v>
      </c>
      <c r="C951" s="9" t="s">
        <v>862</v>
      </c>
      <c r="D951" s="8"/>
      <c r="E951" s="8"/>
      <c r="F951" s="9"/>
    </row>
    <row r="952" spans="1:6" ht="15" customHeight="1" x14ac:dyDescent="0.2">
      <c r="A952" s="3" t="s">
        <v>2468</v>
      </c>
      <c r="B952" s="3" t="s">
        <v>2042</v>
      </c>
      <c r="C952" s="3" t="s">
        <v>862</v>
      </c>
      <c r="D952" s="2"/>
      <c r="E952" s="2"/>
      <c r="F952" s="3"/>
    </row>
    <row r="953" spans="1:6" ht="15" customHeight="1" x14ac:dyDescent="0.2">
      <c r="A953" s="9" t="s">
        <v>2469</v>
      </c>
      <c r="B953" s="9" t="s">
        <v>2470</v>
      </c>
      <c r="C953" s="9" t="s">
        <v>862</v>
      </c>
      <c r="D953" s="8"/>
      <c r="E953" s="8"/>
      <c r="F953" s="9"/>
    </row>
    <row r="954" spans="1:6" ht="15" customHeight="1" x14ac:dyDescent="0.2">
      <c r="A954" s="3" t="s">
        <v>2471</v>
      </c>
      <c r="B954" s="3" t="s">
        <v>1590</v>
      </c>
      <c r="C954" s="3" t="s">
        <v>862</v>
      </c>
      <c r="D954" s="2"/>
      <c r="E954" s="2"/>
      <c r="F954" s="3"/>
    </row>
    <row r="955" spans="1:6" ht="15" customHeight="1" x14ac:dyDescent="0.2">
      <c r="A955" s="9" t="s">
        <v>2472</v>
      </c>
      <c r="B955" s="9" t="s">
        <v>1965</v>
      </c>
      <c r="C955" s="9" t="s">
        <v>862</v>
      </c>
      <c r="D955" s="8"/>
      <c r="E955" s="8"/>
      <c r="F955" s="9"/>
    </row>
    <row r="956" spans="1:6" ht="15" customHeight="1" x14ac:dyDescent="0.2">
      <c r="A956" s="3" t="s">
        <v>2473</v>
      </c>
      <c r="B956" s="3" t="s">
        <v>1983</v>
      </c>
      <c r="C956" s="3" t="s">
        <v>862</v>
      </c>
      <c r="D956" s="2"/>
      <c r="E956" s="2"/>
      <c r="F956" s="3"/>
    </row>
    <row r="957" spans="1:6" ht="15" customHeight="1" x14ac:dyDescent="0.2">
      <c r="A957" s="9" t="s">
        <v>2474</v>
      </c>
      <c r="B957" s="9" t="s">
        <v>1913</v>
      </c>
      <c r="C957" s="9" t="s">
        <v>862</v>
      </c>
      <c r="D957" s="8"/>
      <c r="E957" s="8"/>
      <c r="F957" s="9"/>
    </row>
    <row r="958" spans="1:6" ht="15" customHeight="1" x14ac:dyDescent="0.2">
      <c r="A958" s="3" t="s">
        <v>2475</v>
      </c>
      <c r="B958" s="3" t="s">
        <v>2476</v>
      </c>
      <c r="C958" s="3" t="s">
        <v>862</v>
      </c>
      <c r="D958" s="2"/>
      <c r="E958" s="2"/>
      <c r="F958" s="3"/>
    </row>
    <row r="959" spans="1:6" ht="15" customHeight="1" x14ac:dyDescent="0.2">
      <c r="A959" s="9" t="s">
        <v>2477</v>
      </c>
      <c r="B959" s="9" t="s">
        <v>2478</v>
      </c>
      <c r="C959" s="9" t="s">
        <v>862</v>
      </c>
      <c r="D959" s="8"/>
      <c r="E959" s="8"/>
      <c r="F959" s="9"/>
    </row>
    <row r="960" spans="1:6" ht="15" customHeight="1" x14ac:dyDescent="0.2">
      <c r="A960" s="3" t="s">
        <v>2479</v>
      </c>
      <c r="B960" s="3" t="s">
        <v>1618</v>
      </c>
      <c r="C960" s="3" t="s">
        <v>862</v>
      </c>
      <c r="D960" s="2"/>
      <c r="E960" s="2"/>
      <c r="F960" s="3"/>
    </row>
    <row r="961" spans="1:6" ht="15" customHeight="1" x14ac:dyDescent="0.2">
      <c r="A961" s="9" t="s">
        <v>2480</v>
      </c>
      <c r="B961" s="9" t="s">
        <v>1306</v>
      </c>
      <c r="C961" s="9" t="s">
        <v>862</v>
      </c>
      <c r="D961" s="8"/>
      <c r="E961" s="8"/>
      <c r="F961" s="9"/>
    </row>
    <row r="962" spans="1:6" ht="15" customHeight="1" x14ac:dyDescent="0.2">
      <c r="A962" s="3" t="s">
        <v>2481</v>
      </c>
      <c r="B962" s="3" t="s">
        <v>2482</v>
      </c>
      <c r="C962" s="3" t="s">
        <v>862</v>
      </c>
      <c r="D962" s="2"/>
      <c r="E962" s="2"/>
      <c r="F962" s="3"/>
    </row>
    <row r="963" spans="1:6" ht="15" customHeight="1" x14ac:dyDescent="0.2">
      <c r="A963" s="9" t="s">
        <v>2483</v>
      </c>
      <c r="B963" s="9" t="s">
        <v>2484</v>
      </c>
      <c r="C963" s="9" t="s">
        <v>862</v>
      </c>
      <c r="D963" s="8"/>
      <c r="E963" s="8"/>
      <c r="F963" s="9"/>
    </row>
    <row r="964" spans="1:6" ht="15" customHeight="1" x14ac:dyDescent="0.2">
      <c r="A964" s="3" t="s">
        <v>2485</v>
      </c>
      <c r="B964" s="3" t="s">
        <v>2376</v>
      </c>
      <c r="C964" s="3" t="s">
        <v>862</v>
      </c>
      <c r="D964" s="2"/>
      <c r="E964" s="2"/>
      <c r="F964" s="3"/>
    </row>
    <row r="965" spans="1:6" ht="15" customHeight="1" x14ac:dyDescent="0.2">
      <c r="A965" s="9" t="s">
        <v>2486</v>
      </c>
      <c r="B965" s="9" t="s">
        <v>1356</v>
      </c>
      <c r="C965" s="9" t="s">
        <v>862</v>
      </c>
      <c r="D965" s="8"/>
      <c r="E965" s="8"/>
      <c r="F965" s="9"/>
    </row>
    <row r="966" spans="1:6" ht="15" customHeight="1" x14ac:dyDescent="0.2">
      <c r="A966" s="3" t="s">
        <v>2487</v>
      </c>
      <c r="B966" s="3" t="s">
        <v>2488</v>
      </c>
      <c r="C966" s="3" t="s">
        <v>862</v>
      </c>
      <c r="D966" s="2"/>
      <c r="E966" s="2"/>
      <c r="F966" s="3"/>
    </row>
    <row r="967" spans="1:6" ht="15" customHeight="1" x14ac:dyDescent="0.2">
      <c r="A967" s="9" t="s">
        <v>2489</v>
      </c>
      <c r="B967" s="9" t="s">
        <v>2154</v>
      </c>
      <c r="C967" s="9" t="s">
        <v>862</v>
      </c>
      <c r="D967" s="8"/>
      <c r="E967" s="8"/>
      <c r="F967" s="9"/>
    </row>
    <row r="968" spans="1:6" ht="15" customHeight="1" x14ac:dyDescent="0.2">
      <c r="A968" s="3" t="s">
        <v>2490</v>
      </c>
      <c r="B968" s="3" t="s">
        <v>1300</v>
      </c>
      <c r="C968" s="3" t="s">
        <v>862</v>
      </c>
      <c r="D968" s="2"/>
      <c r="E968" s="2"/>
      <c r="F968" s="3"/>
    </row>
    <row r="969" spans="1:6" ht="15" customHeight="1" x14ac:dyDescent="0.2">
      <c r="A969" s="9" t="s">
        <v>2491</v>
      </c>
      <c r="B969" s="9" t="s">
        <v>2492</v>
      </c>
      <c r="C969" s="9" t="s">
        <v>862</v>
      </c>
      <c r="D969" s="8"/>
      <c r="E969" s="8"/>
      <c r="F969" s="9"/>
    </row>
    <row r="970" spans="1:6" ht="15" customHeight="1" x14ac:dyDescent="0.2">
      <c r="A970" s="3" t="s">
        <v>2493</v>
      </c>
      <c r="B970" s="3" t="s">
        <v>2494</v>
      </c>
      <c r="C970" s="3" t="s">
        <v>862</v>
      </c>
      <c r="D970" s="2"/>
      <c r="E970" s="2"/>
      <c r="F970" s="3"/>
    </row>
    <row r="971" spans="1:6" ht="15" customHeight="1" x14ac:dyDescent="0.2">
      <c r="A971" s="9" t="s">
        <v>2495</v>
      </c>
      <c r="B971" s="9" t="s">
        <v>2496</v>
      </c>
      <c r="C971" s="9" t="s">
        <v>862</v>
      </c>
      <c r="D971" s="8"/>
      <c r="E971" s="8"/>
      <c r="F971" s="9"/>
    </row>
    <row r="972" spans="1:6" ht="15" customHeight="1" x14ac:dyDescent="0.2">
      <c r="A972" s="3" t="s">
        <v>2497</v>
      </c>
      <c r="B972" s="3" t="s">
        <v>2082</v>
      </c>
      <c r="C972" s="3" t="s">
        <v>862</v>
      </c>
      <c r="D972" s="2"/>
      <c r="E972" s="2"/>
      <c r="F972" s="3"/>
    </row>
    <row r="973" spans="1:6" ht="15" customHeight="1" x14ac:dyDescent="0.2">
      <c r="A973" s="9" t="s">
        <v>2498</v>
      </c>
      <c r="B973" s="9" t="s">
        <v>2499</v>
      </c>
      <c r="C973" s="9" t="s">
        <v>862</v>
      </c>
      <c r="D973" s="8"/>
      <c r="E973" s="8"/>
      <c r="F973" s="9"/>
    </row>
    <row r="974" spans="1:6" ht="15" customHeight="1" x14ac:dyDescent="0.2">
      <c r="A974" s="3" t="s">
        <v>2500</v>
      </c>
      <c r="B974" s="3" t="s">
        <v>2501</v>
      </c>
      <c r="C974" s="3" t="s">
        <v>862</v>
      </c>
      <c r="D974" s="2"/>
      <c r="E974" s="2"/>
      <c r="F974" s="3"/>
    </row>
    <row r="975" spans="1:6" ht="15" customHeight="1" x14ac:dyDescent="0.2">
      <c r="A975" s="9" t="s">
        <v>2502</v>
      </c>
      <c r="B975" s="9" t="s">
        <v>2067</v>
      </c>
      <c r="C975" s="9" t="s">
        <v>862</v>
      </c>
      <c r="D975" s="8"/>
      <c r="E975" s="8"/>
      <c r="F975" s="9"/>
    </row>
    <row r="976" spans="1:6" ht="15" customHeight="1" x14ac:dyDescent="0.2">
      <c r="A976" s="3" t="s">
        <v>2503</v>
      </c>
      <c r="B976" s="3" t="s">
        <v>2504</v>
      </c>
      <c r="C976" s="3" t="s">
        <v>862</v>
      </c>
      <c r="D976" s="2"/>
      <c r="E976" s="2"/>
      <c r="F976" s="3"/>
    </row>
    <row r="977" spans="1:6" ht="15" customHeight="1" x14ac:dyDescent="0.2">
      <c r="A977" s="9" t="s">
        <v>2505</v>
      </c>
      <c r="B977" s="9" t="s">
        <v>2506</v>
      </c>
      <c r="C977" s="9" t="s">
        <v>862</v>
      </c>
      <c r="D977" s="8"/>
      <c r="E977" s="8"/>
      <c r="F977" s="9"/>
    </row>
    <row r="978" spans="1:6" ht="15" customHeight="1" x14ac:dyDescent="0.2">
      <c r="A978" s="3" t="s">
        <v>2507</v>
      </c>
      <c r="B978" s="3" t="s">
        <v>2508</v>
      </c>
      <c r="C978" s="3" t="s">
        <v>862</v>
      </c>
      <c r="D978" s="2"/>
      <c r="E978" s="2"/>
      <c r="F978" s="3"/>
    </row>
    <row r="979" spans="1:6" ht="15" customHeight="1" x14ac:dyDescent="0.2">
      <c r="A979" s="9" t="s">
        <v>2509</v>
      </c>
      <c r="B979" s="9" t="s">
        <v>2510</v>
      </c>
      <c r="C979" s="9" t="s">
        <v>862</v>
      </c>
      <c r="D979" s="8"/>
      <c r="E979" s="8"/>
      <c r="F979" s="9"/>
    </row>
    <row r="980" spans="1:6" ht="15" customHeight="1" x14ac:dyDescent="0.2">
      <c r="A980" s="3" t="s">
        <v>2511</v>
      </c>
      <c r="B980" s="3" t="s">
        <v>2139</v>
      </c>
      <c r="C980" s="3" t="s">
        <v>862</v>
      </c>
      <c r="D980" s="2"/>
      <c r="E980" s="2"/>
      <c r="F980" s="3"/>
    </row>
    <row r="981" spans="1:6" ht="15" customHeight="1" x14ac:dyDescent="0.2">
      <c r="A981" s="9" t="s">
        <v>2512</v>
      </c>
      <c r="B981" s="9" t="s">
        <v>1294</v>
      </c>
      <c r="C981" s="9" t="s">
        <v>862</v>
      </c>
      <c r="D981" s="8"/>
      <c r="E981" s="8"/>
      <c r="F981" s="9"/>
    </row>
    <row r="982" spans="1:6" ht="15" customHeight="1" x14ac:dyDescent="0.2">
      <c r="A982" s="3" t="s">
        <v>2513</v>
      </c>
      <c r="B982" s="3" t="s">
        <v>2514</v>
      </c>
      <c r="C982" s="3" t="s">
        <v>862</v>
      </c>
      <c r="D982" s="2"/>
      <c r="E982" s="2"/>
      <c r="F982" s="3"/>
    </row>
    <row r="983" spans="1:6" ht="15" customHeight="1" x14ac:dyDescent="0.2">
      <c r="A983" s="9" t="s">
        <v>2515</v>
      </c>
      <c r="B983" s="9" t="s">
        <v>2516</v>
      </c>
      <c r="C983" s="9" t="s">
        <v>862</v>
      </c>
      <c r="D983" s="8"/>
      <c r="E983" s="8"/>
      <c r="F983" s="9"/>
    </row>
    <row r="984" spans="1:6" ht="15" customHeight="1" x14ac:dyDescent="0.2">
      <c r="A984" s="3" t="s">
        <v>2517</v>
      </c>
      <c r="B984" s="3" t="s">
        <v>2150</v>
      </c>
      <c r="C984" s="3" t="s">
        <v>862</v>
      </c>
      <c r="D984" s="2"/>
      <c r="E984" s="2"/>
      <c r="F984" s="3"/>
    </row>
    <row r="985" spans="1:6" ht="15" customHeight="1" x14ac:dyDescent="0.2">
      <c r="A985" s="9" t="s">
        <v>2518</v>
      </c>
      <c r="B985" s="9" t="s">
        <v>1862</v>
      </c>
      <c r="C985" s="9" t="s">
        <v>862</v>
      </c>
      <c r="D985" s="8"/>
      <c r="E985" s="8"/>
      <c r="F985" s="9"/>
    </row>
    <row r="986" spans="1:6" ht="15" customHeight="1" x14ac:dyDescent="0.2">
      <c r="A986" s="3" t="s">
        <v>2519</v>
      </c>
      <c r="B986" s="3" t="s">
        <v>2443</v>
      </c>
      <c r="C986" s="3" t="s">
        <v>862</v>
      </c>
      <c r="D986" s="2"/>
      <c r="E986" s="2"/>
      <c r="F986" s="3"/>
    </row>
    <row r="987" spans="1:6" ht="15" customHeight="1" x14ac:dyDescent="0.2">
      <c r="A987" s="9" t="s">
        <v>2520</v>
      </c>
      <c r="B987" s="9" t="s">
        <v>2435</v>
      </c>
      <c r="C987" s="9" t="s">
        <v>862</v>
      </c>
      <c r="D987" s="8"/>
      <c r="E987" s="8"/>
      <c r="F987" s="9"/>
    </row>
    <row r="988" spans="1:6" ht="15" customHeight="1" x14ac:dyDescent="0.2">
      <c r="A988" s="3" t="s">
        <v>2521</v>
      </c>
      <c r="B988" s="3" t="s">
        <v>1292</v>
      </c>
      <c r="C988" s="3" t="s">
        <v>862</v>
      </c>
      <c r="D988" s="2"/>
      <c r="E988" s="2"/>
      <c r="F988" s="3"/>
    </row>
    <row r="989" spans="1:6" ht="15" customHeight="1" x14ac:dyDescent="0.2">
      <c r="A989" s="9" t="s">
        <v>2522</v>
      </c>
      <c r="B989" s="9" t="s">
        <v>1429</v>
      </c>
      <c r="C989" s="9" t="s">
        <v>862</v>
      </c>
      <c r="D989" s="8"/>
      <c r="E989" s="8"/>
      <c r="F989" s="9"/>
    </row>
    <row r="990" spans="1:6" ht="15" customHeight="1" x14ac:dyDescent="0.2">
      <c r="A990" s="3" t="s">
        <v>2523</v>
      </c>
      <c r="B990" s="3" t="s">
        <v>2031</v>
      </c>
      <c r="C990" s="3" t="s">
        <v>862</v>
      </c>
      <c r="D990" s="2"/>
      <c r="E990" s="2"/>
      <c r="F990" s="3"/>
    </row>
    <row r="991" spans="1:6" ht="15" customHeight="1" x14ac:dyDescent="0.2">
      <c r="A991" s="9" t="s">
        <v>2524</v>
      </c>
      <c r="B991" s="9" t="s">
        <v>2464</v>
      </c>
      <c r="C991" s="9" t="s">
        <v>862</v>
      </c>
      <c r="D991" s="8"/>
      <c r="E991" s="8"/>
      <c r="F991" s="9"/>
    </row>
    <row r="992" spans="1:6" ht="15" customHeight="1" x14ac:dyDescent="0.2">
      <c r="A992" s="3" t="s">
        <v>2525</v>
      </c>
      <c r="B992" s="3" t="s">
        <v>2526</v>
      </c>
      <c r="C992" s="3" t="s">
        <v>862</v>
      </c>
      <c r="D992" s="2"/>
      <c r="E992" s="2"/>
      <c r="F992" s="3"/>
    </row>
    <row r="993" spans="1:6" ht="15" customHeight="1" x14ac:dyDescent="0.2">
      <c r="A993" s="9" t="s">
        <v>2527</v>
      </c>
      <c r="B993" s="9" t="s">
        <v>2194</v>
      </c>
      <c r="C993" s="9" t="s">
        <v>862</v>
      </c>
      <c r="D993" s="8"/>
      <c r="E993" s="8"/>
      <c r="F993" s="9"/>
    </row>
    <row r="994" spans="1:6" ht="15" customHeight="1" x14ac:dyDescent="0.2">
      <c r="A994" s="3" t="s">
        <v>2528</v>
      </c>
      <c r="B994" s="3" t="s">
        <v>2508</v>
      </c>
      <c r="C994" s="3" t="s">
        <v>862</v>
      </c>
      <c r="D994" s="2"/>
      <c r="E994" s="2"/>
      <c r="F994" s="3"/>
    </row>
    <row r="995" spans="1:6" ht="15" customHeight="1" x14ac:dyDescent="0.2">
      <c r="A995" s="9" t="s">
        <v>2529</v>
      </c>
      <c r="B995" s="9" t="s">
        <v>2269</v>
      </c>
      <c r="C995" s="9" t="s">
        <v>862</v>
      </c>
      <c r="D995" s="8"/>
      <c r="E995" s="8"/>
      <c r="F995" s="9"/>
    </row>
    <row r="996" spans="1:6" ht="15" customHeight="1" x14ac:dyDescent="0.2">
      <c r="A996" s="3" t="s">
        <v>2530</v>
      </c>
      <c r="B996" s="3" t="s">
        <v>2376</v>
      </c>
      <c r="C996" s="3" t="s">
        <v>862</v>
      </c>
      <c r="D996" s="2"/>
      <c r="E996" s="2"/>
      <c r="F996" s="3"/>
    </row>
    <row r="997" spans="1:6" ht="15" customHeight="1" x14ac:dyDescent="0.2">
      <c r="A997" s="9" t="s">
        <v>2531</v>
      </c>
      <c r="B997" s="9" t="s">
        <v>2532</v>
      </c>
      <c r="C997" s="9" t="s">
        <v>862</v>
      </c>
      <c r="D997" s="8"/>
      <c r="E997" s="8"/>
      <c r="F997" s="9"/>
    </row>
    <row r="998" spans="1:6" ht="15" customHeight="1" x14ac:dyDescent="0.2">
      <c r="A998" s="3" t="s">
        <v>2533</v>
      </c>
      <c r="B998" s="3" t="s">
        <v>2534</v>
      </c>
      <c r="C998" s="3" t="s">
        <v>862</v>
      </c>
      <c r="D998" s="2"/>
      <c r="E998" s="2"/>
      <c r="F998" s="3"/>
    </row>
    <row r="999" spans="1:6" ht="15" customHeight="1" x14ac:dyDescent="0.2">
      <c r="A999" s="9" t="s">
        <v>2535</v>
      </c>
      <c r="B999" s="9" t="s">
        <v>2536</v>
      </c>
      <c r="C999" s="9" t="s">
        <v>862</v>
      </c>
      <c r="D999" s="8"/>
      <c r="E999" s="8"/>
      <c r="F999" s="9"/>
    </row>
    <row r="1000" spans="1:6" ht="15" customHeight="1" x14ac:dyDescent="0.2">
      <c r="A1000" s="3" t="s">
        <v>2537</v>
      </c>
      <c r="B1000" s="3" t="s">
        <v>2538</v>
      </c>
      <c r="C1000" s="3" t="s">
        <v>862</v>
      </c>
      <c r="D1000" s="2"/>
      <c r="E1000" s="2"/>
      <c r="F1000" s="3"/>
    </row>
    <row r="1001" spans="1:6" ht="15" customHeight="1" x14ac:dyDescent="0.2">
      <c r="A1001" s="9" t="s">
        <v>2539</v>
      </c>
      <c r="B1001" s="9" t="s">
        <v>2540</v>
      </c>
      <c r="C1001" s="9" t="s">
        <v>862</v>
      </c>
      <c r="D1001" s="8"/>
      <c r="E1001" s="8"/>
      <c r="F1001" s="9"/>
    </row>
    <row r="1002" spans="1:6" ht="15" customHeight="1" x14ac:dyDescent="0.2">
      <c r="A1002" s="3" t="s">
        <v>2541</v>
      </c>
      <c r="B1002" s="3" t="s">
        <v>1899</v>
      </c>
      <c r="C1002" s="3" t="s">
        <v>862</v>
      </c>
      <c r="D1002" s="2"/>
      <c r="E1002" s="2"/>
      <c r="F1002" s="3"/>
    </row>
    <row r="1003" spans="1:6" ht="15" customHeight="1" x14ac:dyDescent="0.2">
      <c r="A1003" s="9" t="s">
        <v>2542</v>
      </c>
      <c r="B1003" s="9" t="s">
        <v>2543</v>
      </c>
      <c r="C1003" s="9" t="s">
        <v>862</v>
      </c>
      <c r="D1003" s="8"/>
      <c r="E1003" s="8"/>
      <c r="F1003" s="9"/>
    </row>
    <row r="1004" spans="1:6" ht="15" customHeight="1" x14ac:dyDescent="0.2">
      <c r="A1004" s="3" t="s">
        <v>2544</v>
      </c>
      <c r="B1004" s="3" t="s">
        <v>1979</v>
      </c>
      <c r="C1004" s="3" t="s">
        <v>862</v>
      </c>
      <c r="D1004" s="2"/>
      <c r="E1004" s="2"/>
      <c r="F1004" s="3"/>
    </row>
    <row r="1005" spans="1:6" ht="15" customHeight="1" x14ac:dyDescent="0.2">
      <c r="A1005" s="9" t="s">
        <v>2545</v>
      </c>
      <c r="B1005" s="9" t="s">
        <v>2546</v>
      </c>
      <c r="C1005" s="9" t="s">
        <v>862</v>
      </c>
      <c r="D1005" s="8"/>
      <c r="E1005" s="8"/>
      <c r="F1005" s="9"/>
    </row>
    <row r="1006" spans="1:6" ht="15" customHeight="1" x14ac:dyDescent="0.2">
      <c r="A1006" s="3" t="s">
        <v>2547</v>
      </c>
      <c r="B1006" s="3" t="s">
        <v>2015</v>
      </c>
      <c r="C1006" s="3" t="s">
        <v>862</v>
      </c>
      <c r="D1006" s="2"/>
      <c r="E1006" s="2"/>
      <c r="F1006" s="3"/>
    </row>
    <row r="1007" spans="1:6" ht="15" customHeight="1" x14ac:dyDescent="0.2">
      <c r="A1007" s="9" t="s">
        <v>2548</v>
      </c>
      <c r="B1007" s="9" t="s">
        <v>2549</v>
      </c>
      <c r="C1007" s="9" t="s">
        <v>862</v>
      </c>
      <c r="D1007" s="8"/>
      <c r="E1007" s="8"/>
      <c r="F1007" s="9"/>
    </row>
    <row r="1008" spans="1:6" ht="15" customHeight="1" x14ac:dyDescent="0.2">
      <c r="A1008" s="3" t="s">
        <v>2550</v>
      </c>
      <c r="B1008" s="3" t="s">
        <v>2551</v>
      </c>
      <c r="C1008" s="3" t="s">
        <v>862</v>
      </c>
      <c r="D1008" s="2"/>
      <c r="E1008" s="2"/>
      <c r="F1008" s="3"/>
    </row>
    <row r="1009" spans="1:6" ht="15" customHeight="1" x14ac:dyDescent="0.2">
      <c r="A1009" s="9" t="s">
        <v>2552</v>
      </c>
      <c r="B1009" s="9" t="s">
        <v>2553</v>
      </c>
      <c r="C1009" s="9" t="s">
        <v>862</v>
      </c>
      <c r="D1009" s="8"/>
      <c r="E1009" s="8"/>
      <c r="F1009" s="9"/>
    </row>
    <row r="1010" spans="1:6" ht="15" customHeight="1" x14ac:dyDescent="0.2">
      <c r="A1010" s="3" t="s">
        <v>2554</v>
      </c>
      <c r="B1010" s="3" t="s">
        <v>2555</v>
      </c>
      <c r="C1010" s="3" t="s">
        <v>862</v>
      </c>
      <c r="D1010" s="2"/>
      <c r="E1010" s="2"/>
      <c r="F1010" s="3"/>
    </row>
    <row r="1011" spans="1:6" ht="15" customHeight="1" x14ac:dyDescent="0.2">
      <c r="A1011" s="9" t="s">
        <v>2556</v>
      </c>
      <c r="B1011" s="9" t="s">
        <v>2557</v>
      </c>
      <c r="C1011" s="9" t="s">
        <v>862</v>
      </c>
      <c r="D1011" s="8"/>
      <c r="E1011" s="8"/>
      <c r="F1011" s="9"/>
    </row>
    <row r="1012" spans="1:6" ht="15" customHeight="1" x14ac:dyDescent="0.2">
      <c r="A1012" s="3" t="s">
        <v>2558</v>
      </c>
      <c r="B1012" s="3" t="s">
        <v>2534</v>
      </c>
      <c r="C1012" s="3" t="s">
        <v>862</v>
      </c>
      <c r="D1012" s="2"/>
      <c r="E1012" s="2"/>
      <c r="F1012" s="3"/>
    </row>
    <row r="1013" spans="1:6" ht="15" customHeight="1" x14ac:dyDescent="0.2">
      <c r="A1013" s="9" t="s">
        <v>2559</v>
      </c>
      <c r="B1013" s="9" t="s">
        <v>2560</v>
      </c>
      <c r="C1013" s="9" t="s">
        <v>862</v>
      </c>
      <c r="D1013" s="8"/>
      <c r="E1013" s="8"/>
      <c r="F1013" s="9"/>
    </row>
    <row r="1014" spans="1:6" ht="15" customHeight="1" x14ac:dyDescent="0.2">
      <c r="A1014" s="3" t="s">
        <v>2561</v>
      </c>
      <c r="B1014" s="3" t="s">
        <v>2562</v>
      </c>
      <c r="C1014" s="3" t="s">
        <v>862</v>
      </c>
      <c r="D1014" s="2"/>
      <c r="E1014" s="2"/>
      <c r="F1014" s="3"/>
    </row>
    <row r="1015" spans="1:6" ht="15" customHeight="1" x14ac:dyDescent="0.2">
      <c r="A1015" s="9" t="s">
        <v>2563</v>
      </c>
      <c r="B1015" s="9" t="s">
        <v>2564</v>
      </c>
      <c r="C1015" s="9" t="s">
        <v>862</v>
      </c>
      <c r="D1015" s="8"/>
      <c r="E1015" s="8"/>
      <c r="F1015" s="9"/>
    </row>
    <row r="1016" spans="1:6" ht="15" customHeight="1" x14ac:dyDescent="0.2">
      <c r="A1016" s="3" t="s">
        <v>2565</v>
      </c>
      <c r="B1016" s="3" t="s">
        <v>1936</v>
      </c>
      <c r="C1016" s="3" t="s">
        <v>862</v>
      </c>
      <c r="D1016" s="2"/>
      <c r="E1016" s="2"/>
      <c r="F1016" s="3"/>
    </row>
    <row r="1017" spans="1:6" ht="15" customHeight="1" x14ac:dyDescent="0.2">
      <c r="A1017" s="9" t="s">
        <v>2566</v>
      </c>
      <c r="B1017" s="9" t="s">
        <v>2567</v>
      </c>
      <c r="C1017" s="9" t="s">
        <v>862</v>
      </c>
      <c r="D1017" s="8"/>
      <c r="E1017" s="8"/>
      <c r="F1017" s="9"/>
    </row>
    <row r="1018" spans="1:6" ht="15" customHeight="1" x14ac:dyDescent="0.2">
      <c r="A1018" s="3" t="s">
        <v>2568</v>
      </c>
      <c r="B1018" s="3" t="s">
        <v>2569</v>
      </c>
      <c r="C1018" s="3" t="s">
        <v>862</v>
      </c>
      <c r="D1018" s="2"/>
      <c r="E1018" s="2"/>
      <c r="F1018" s="3"/>
    </row>
    <row r="1019" spans="1:6" ht="15" customHeight="1" x14ac:dyDescent="0.2">
      <c r="A1019" s="9" t="s">
        <v>2570</v>
      </c>
      <c r="B1019" s="9" t="s">
        <v>2571</v>
      </c>
      <c r="C1019" s="9" t="s">
        <v>862</v>
      </c>
      <c r="D1019" s="8"/>
      <c r="E1019" s="8"/>
      <c r="F1019" s="9"/>
    </row>
    <row r="1020" spans="1:6" ht="15" customHeight="1" x14ac:dyDescent="0.2">
      <c r="A1020" s="3" t="s">
        <v>2572</v>
      </c>
      <c r="B1020" s="3" t="s">
        <v>2573</v>
      </c>
      <c r="C1020" s="3" t="s">
        <v>862</v>
      </c>
      <c r="D1020" s="2"/>
      <c r="E1020" s="2"/>
      <c r="F1020" s="3"/>
    </row>
    <row r="1021" spans="1:6" ht="15" customHeight="1" x14ac:dyDescent="0.2">
      <c r="A1021" s="9" t="s">
        <v>2574</v>
      </c>
      <c r="B1021" s="9" t="s">
        <v>2575</v>
      </c>
      <c r="C1021" s="9" t="s">
        <v>862</v>
      </c>
      <c r="D1021" s="8"/>
      <c r="E1021" s="8"/>
      <c r="F1021" s="9"/>
    </row>
    <row r="1022" spans="1:6" ht="15" customHeight="1" x14ac:dyDescent="0.2">
      <c r="A1022" s="3" t="s">
        <v>2576</v>
      </c>
      <c r="B1022" s="3" t="s">
        <v>2577</v>
      </c>
      <c r="C1022" s="3" t="s">
        <v>862</v>
      </c>
      <c r="D1022" s="2"/>
      <c r="E1022" s="2"/>
      <c r="F1022" s="3"/>
    </row>
    <row r="1023" spans="1:6" ht="15" customHeight="1" x14ac:dyDescent="0.2">
      <c r="A1023" s="9" t="s">
        <v>2578</v>
      </c>
      <c r="B1023" s="9" t="s">
        <v>2579</v>
      </c>
      <c r="C1023" s="9" t="s">
        <v>862</v>
      </c>
      <c r="D1023" s="8"/>
      <c r="E1023" s="8"/>
      <c r="F1023" s="9"/>
    </row>
    <row r="1024" spans="1:6" ht="15" customHeight="1" x14ac:dyDescent="0.2">
      <c r="A1024" s="3" t="s">
        <v>2580</v>
      </c>
      <c r="B1024" s="3" t="s">
        <v>2581</v>
      </c>
      <c r="C1024" s="3" t="s">
        <v>862</v>
      </c>
      <c r="D1024" s="2"/>
      <c r="E1024" s="2"/>
      <c r="F1024" s="3"/>
    </row>
    <row r="1025" spans="1:6" ht="15" customHeight="1" x14ac:dyDescent="0.2">
      <c r="A1025" s="9" t="s">
        <v>2582</v>
      </c>
      <c r="B1025" s="9" t="s">
        <v>2116</v>
      </c>
      <c r="C1025" s="9" t="s">
        <v>862</v>
      </c>
      <c r="D1025" s="8"/>
      <c r="E1025" s="8"/>
      <c r="F1025" s="9"/>
    </row>
    <row r="1026" spans="1:6" ht="15" customHeight="1" x14ac:dyDescent="0.2">
      <c r="A1026" s="3" t="s">
        <v>2583</v>
      </c>
      <c r="B1026" s="3" t="s">
        <v>2584</v>
      </c>
      <c r="C1026" s="3" t="s">
        <v>862</v>
      </c>
      <c r="D1026" s="2"/>
      <c r="E1026" s="2"/>
      <c r="F1026" s="3"/>
    </row>
    <row r="1027" spans="1:6" ht="15" customHeight="1" x14ac:dyDescent="0.2">
      <c r="A1027" s="9" t="s">
        <v>2585</v>
      </c>
      <c r="B1027" s="9" t="s">
        <v>2586</v>
      </c>
      <c r="C1027" s="9" t="s">
        <v>862</v>
      </c>
      <c r="D1027" s="8"/>
      <c r="E1027" s="8"/>
      <c r="F1027" s="9"/>
    </row>
    <row r="1028" spans="1:6" ht="15" customHeight="1" x14ac:dyDescent="0.2">
      <c r="A1028" s="3" t="s">
        <v>2587</v>
      </c>
      <c r="B1028" s="3" t="s">
        <v>2588</v>
      </c>
      <c r="C1028" s="3" t="s">
        <v>862</v>
      </c>
      <c r="D1028" s="2"/>
      <c r="E1028" s="2"/>
      <c r="F1028" s="3"/>
    </row>
    <row r="1029" spans="1:6" ht="15" customHeight="1" x14ac:dyDescent="0.2">
      <c r="A1029" s="9" t="s">
        <v>2589</v>
      </c>
      <c r="B1029" s="9" t="s">
        <v>2141</v>
      </c>
      <c r="C1029" s="9" t="s">
        <v>862</v>
      </c>
      <c r="D1029" s="8"/>
      <c r="E1029" s="8"/>
      <c r="F1029" s="9"/>
    </row>
    <row r="1030" spans="1:6" ht="15" customHeight="1" x14ac:dyDescent="0.2">
      <c r="A1030" s="3" t="s">
        <v>2590</v>
      </c>
      <c r="B1030" s="3" t="s">
        <v>2167</v>
      </c>
      <c r="C1030" s="3" t="s">
        <v>862</v>
      </c>
      <c r="D1030" s="2"/>
      <c r="E1030" s="2"/>
      <c r="F1030" s="3"/>
    </row>
    <row r="1031" spans="1:6" ht="15" customHeight="1" x14ac:dyDescent="0.2">
      <c r="A1031" s="9" t="s">
        <v>2591</v>
      </c>
      <c r="B1031" s="9" t="s">
        <v>2247</v>
      </c>
      <c r="C1031" s="9" t="s">
        <v>862</v>
      </c>
      <c r="D1031" s="8"/>
      <c r="E1031" s="8"/>
      <c r="F1031" s="9"/>
    </row>
    <row r="1032" spans="1:6" ht="15" customHeight="1" x14ac:dyDescent="0.2">
      <c r="A1032" s="3" t="s">
        <v>2592</v>
      </c>
      <c r="B1032" s="3" t="s">
        <v>2593</v>
      </c>
      <c r="C1032" s="3" t="s">
        <v>862</v>
      </c>
      <c r="D1032" s="2"/>
      <c r="E1032" s="2"/>
      <c r="F1032" s="3"/>
    </row>
    <row r="1033" spans="1:6" ht="15" customHeight="1" x14ac:dyDescent="0.2">
      <c r="A1033" s="9" t="s">
        <v>2594</v>
      </c>
      <c r="B1033" s="9" t="s">
        <v>2373</v>
      </c>
      <c r="C1033" s="9" t="s">
        <v>862</v>
      </c>
      <c r="D1033" s="8"/>
      <c r="E1033" s="8"/>
      <c r="F1033" s="9"/>
    </row>
    <row r="1034" spans="1:6" ht="15" customHeight="1" x14ac:dyDescent="0.2">
      <c r="A1034" s="3" t="s">
        <v>2595</v>
      </c>
      <c r="B1034" s="3" t="s">
        <v>2596</v>
      </c>
      <c r="C1034" s="3" t="s">
        <v>862</v>
      </c>
      <c r="D1034" s="2"/>
      <c r="E1034" s="2"/>
      <c r="F1034" s="3"/>
    </row>
    <row r="1035" spans="1:6" ht="15" customHeight="1" x14ac:dyDescent="0.2">
      <c r="A1035" s="9" t="s">
        <v>2597</v>
      </c>
      <c r="B1035" s="9" t="s">
        <v>2598</v>
      </c>
      <c r="C1035" s="9" t="s">
        <v>862</v>
      </c>
      <c r="D1035" s="8"/>
      <c r="E1035" s="8"/>
      <c r="F1035" s="9"/>
    </row>
    <row r="1036" spans="1:6" ht="15" customHeight="1" x14ac:dyDescent="0.2">
      <c r="A1036" s="3" t="s">
        <v>2599</v>
      </c>
      <c r="B1036" s="3" t="s">
        <v>2600</v>
      </c>
      <c r="C1036" s="3" t="s">
        <v>862</v>
      </c>
      <c r="D1036" s="2"/>
      <c r="E1036" s="2"/>
      <c r="F1036" s="3"/>
    </row>
    <row r="1037" spans="1:6" ht="15" customHeight="1" x14ac:dyDescent="0.2">
      <c r="A1037" s="9" t="s">
        <v>2601</v>
      </c>
      <c r="B1037" s="9" t="s">
        <v>1736</v>
      </c>
      <c r="C1037" s="9" t="s">
        <v>862</v>
      </c>
      <c r="D1037" s="8"/>
      <c r="E1037" s="8"/>
      <c r="F1037" s="9"/>
    </row>
    <row r="1038" spans="1:6" ht="15" customHeight="1" x14ac:dyDescent="0.2">
      <c r="A1038" s="3" t="s">
        <v>2602</v>
      </c>
      <c r="B1038" s="3" t="s">
        <v>2603</v>
      </c>
      <c r="C1038" s="3" t="s">
        <v>862</v>
      </c>
      <c r="D1038" s="2"/>
      <c r="E1038" s="2"/>
      <c r="F1038" s="3"/>
    </row>
    <row r="1039" spans="1:6" ht="15" customHeight="1" x14ac:dyDescent="0.2">
      <c r="A1039" s="9" t="s">
        <v>2604</v>
      </c>
      <c r="B1039" s="9" t="s">
        <v>2605</v>
      </c>
      <c r="C1039" s="9" t="s">
        <v>862</v>
      </c>
      <c r="D1039" s="8"/>
      <c r="E1039" s="8"/>
      <c r="F1039" s="9"/>
    </row>
    <row r="1040" spans="1:6" ht="15" customHeight="1" x14ac:dyDescent="0.2">
      <c r="A1040" s="3" t="s">
        <v>2606</v>
      </c>
      <c r="B1040" s="3" t="s">
        <v>2607</v>
      </c>
      <c r="C1040" s="3" t="s">
        <v>862</v>
      </c>
      <c r="D1040" s="2"/>
      <c r="E1040" s="2"/>
      <c r="F1040" s="3"/>
    </row>
    <row r="1041" spans="1:6" ht="15" customHeight="1" x14ac:dyDescent="0.2">
      <c r="A1041" s="9" t="s">
        <v>2608</v>
      </c>
      <c r="B1041" s="9" t="s">
        <v>2609</v>
      </c>
      <c r="C1041" s="9" t="s">
        <v>862</v>
      </c>
      <c r="D1041" s="8"/>
      <c r="E1041" s="8"/>
      <c r="F1041" s="9"/>
    </row>
    <row r="1042" spans="1:6" ht="15" customHeight="1" x14ac:dyDescent="0.2">
      <c r="A1042" s="3" t="s">
        <v>2610</v>
      </c>
      <c r="B1042" s="3" t="s">
        <v>2611</v>
      </c>
      <c r="C1042" s="3" t="s">
        <v>862</v>
      </c>
      <c r="D1042" s="2"/>
      <c r="E1042" s="2"/>
      <c r="F1042" s="3"/>
    </row>
    <row r="1043" spans="1:6" ht="15" customHeight="1" x14ac:dyDescent="0.2">
      <c r="A1043" s="9" t="s">
        <v>2612</v>
      </c>
      <c r="B1043" s="9" t="s">
        <v>2613</v>
      </c>
      <c r="C1043" s="9" t="s">
        <v>862</v>
      </c>
      <c r="D1043" s="8"/>
      <c r="E1043" s="8"/>
      <c r="F1043" s="9"/>
    </row>
    <row r="1044" spans="1:6" ht="15" customHeight="1" x14ac:dyDescent="0.2">
      <c r="A1044" s="3" t="s">
        <v>2614</v>
      </c>
      <c r="B1044" s="3" t="s">
        <v>2427</v>
      </c>
      <c r="C1044" s="3" t="s">
        <v>862</v>
      </c>
      <c r="D1044" s="2"/>
      <c r="E1044" s="2"/>
      <c r="F1044" s="3"/>
    </row>
    <row r="1045" spans="1:6" ht="15" customHeight="1" x14ac:dyDescent="0.2">
      <c r="A1045" s="9" t="s">
        <v>2615</v>
      </c>
      <c r="B1045" s="9" t="s">
        <v>2250</v>
      </c>
      <c r="C1045" s="9" t="s">
        <v>862</v>
      </c>
      <c r="D1045" s="8"/>
      <c r="E1045" s="8"/>
      <c r="F1045" s="9"/>
    </row>
    <row r="1046" spans="1:6" ht="15" customHeight="1" x14ac:dyDescent="0.2">
      <c r="A1046" s="3" t="s">
        <v>2616</v>
      </c>
      <c r="B1046" s="3" t="s">
        <v>2617</v>
      </c>
      <c r="C1046" s="3" t="s">
        <v>862</v>
      </c>
      <c r="D1046" s="2"/>
      <c r="E1046" s="2"/>
      <c r="F1046" s="3"/>
    </row>
    <row r="1047" spans="1:6" ht="15" customHeight="1" x14ac:dyDescent="0.2">
      <c r="A1047" s="9" t="s">
        <v>2618</v>
      </c>
      <c r="B1047" s="9" t="s">
        <v>2619</v>
      </c>
      <c r="C1047" s="9" t="s">
        <v>862</v>
      </c>
      <c r="D1047" s="8"/>
      <c r="E1047" s="8"/>
      <c r="F1047" s="9"/>
    </row>
    <row r="1048" spans="1:6" ht="15" customHeight="1" x14ac:dyDescent="0.2">
      <c r="A1048" s="3" t="s">
        <v>2620</v>
      </c>
      <c r="B1048" s="3" t="s">
        <v>2621</v>
      </c>
      <c r="C1048" s="3" t="s">
        <v>862</v>
      </c>
      <c r="D1048" s="2"/>
      <c r="E1048" s="2"/>
      <c r="F1048" s="3"/>
    </row>
    <row r="1049" spans="1:6" ht="15" customHeight="1" x14ac:dyDescent="0.2">
      <c r="A1049" s="9" t="s">
        <v>2622</v>
      </c>
      <c r="B1049" s="9" t="s">
        <v>2623</v>
      </c>
      <c r="C1049" s="9" t="s">
        <v>862</v>
      </c>
      <c r="D1049" s="8"/>
      <c r="E1049" s="8"/>
      <c r="F1049" s="9"/>
    </row>
    <row r="1050" spans="1:6" ht="15" customHeight="1" x14ac:dyDescent="0.2">
      <c r="A1050" s="3" t="s">
        <v>2624</v>
      </c>
      <c r="B1050" s="3" t="s">
        <v>2625</v>
      </c>
      <c r="C1050" s="3" t="s">
        <v>862</v>
      </c>
      <c r="D1050" s="2"/>
      <c r="E1050" s="2"/>
      <c r="F1050" s="3"/>
    </row>
    <row r="1051" spans="1:6" ht="15" customHeight="1" x14ac:dyDescent="0.2">
      <c r="A1051" s="9" t="s">
        <v>2626</v>
      </c>
      <c r="B1051" s="9" t="s">
        <v>2627</v>
      </c>
      <c r="C1051" s="9" t="s">
        <v>862</v>
      </c>
      <c r="D1051" s="8"/>
      <c r="E1051" s="8"/>
      <c r="F1051" s="9"/>
    </row>
    <row r="1052" spans="1:6" ht="15" customHeight="1" x14ac:dyDescent="0.2">
      <c r="A1052" s="3" t="s">
        <v>2628</v>
      </c>
      <c r="B1052" s="3" t="s">
        <v>2629</v>
      </c>
      <c r="C1052" s="3" t="s">
        <v>862</v>
      </c>
      <c r="D1052" s="2"/>
      <c r="E1052" s="2"/>
      <c r="F1052" s="3"/>
    </row>
    <row r="1053" spans="1:6" ht="15" customHeight="1" x14ac:dyDescent="0.2">
      <c r="A1053" s="9" t="s">
        <v>2630</v>
      </c>
      <c r="B1053" s="9" t="s">
        <v>2631</v>
      </c>
      <c r="C1053" s="9" t="s">
        <v>862</v>
      </c>
      <c r="D1053" s="8"/>
      <c r="E1053" s="8"/>
      <c r="F1053" s="9"/>
    </row>
    <row r="1054" spans="1:6" ht="15" customHeight="1" x14ac:dyDescent="0.2">
      <c r="A1054" s="3" t="s">
        <v>2632</v>
      </c>
      <c r="B1054" s="3" t="s">
        <v>2633</v>
      </c>
      <c r="C1054" s="3" t="s">
        <v>862</v>
      </c>
      <c r="D1054" s="2"/>
      <c r="E1054" s="2"/>
      <c r="F1054" s="3"/>
    </row>
    <row r="1055" spans="1:6" ht="15" customHeight="1" x14ac:dyDescent="0.2">
      <c r="A1055" s="9" t="s">
        <v>2634</v>
      </c>
      <c r="B1055" s="9" t="s">
        <v>2635</v>
      </c>
      <c r="C1055" s="9" t="s">
        <v>862</v>
      </c>
      <c r="D1055" s="8"/>
      <c r="E1055" s="8"/>
      <c r="F1055" s="9"/>
    </row>
    <row r="1056" spans="1:6" ht="15" customHeight="1" x14ac:dyDescent="0.2">
      <c r="A1056" s="3" t="s">
        <v>2636</v>
      </c>
      <c r="B1056" s="3" t="s">
        <v>2637</v>
      </c>
      <c r="C1056" s="3" t="s">
        <v>862</v>
      </c>
      <c r="D1056" s="2"/>
      <c r="E1056" s="2"/>
      <c r="F1056" s="3"/>
    </row>
    <row r="1057" spans="1:6" ht="15" customHeight="1" x14ac:dyDescent="0.2">
      <c r="A1057" s="9" t="s">
        <v>2638</v>
      </c>
      <c r="B1057" s="9" t="s">
        <v>2639</v>
      </c>
      <c r="C1057" s="9" t="s">
        <v>862</v>
      </c>
      <c r="D1057" s="8"/>
      <c r="E1057" s="8"/>
      <c r="F1057" s="9"/>
    </row>
    <row r="1058" spans="1:6" ht="15" customHeight="1" x14ac:dyDescent="0.2">
      <c r="A1058" s="3" t="s">
        <v>2640</v>
      </c>
      <c r="B1058" s="3" t="s">
        <v>2641</v>
      </c>
      <c r="C1058" s="3" t="s">
        <v>862</v>
      </c>
      <c r="D1058" s="2"/>
      <c r="E1058" s="2"/>
      <c r="F1058" s="3"/>
    </row>
    <row r="1059" spans="1:6" ht="15" customHeight="1" x14ac:dyDescent="0.2">
      <c r="A1059" s="9" t="s">
        <v>2642</v>
      </c>
      <c r="B1059" s="9" t="s">
        <v>2643</v>
      </c>
      <c r="C1059" s="9" t="s">
        <v>862</v>
      </c>
      <c r="D1059" s="8"/>
      <c r="E1059" s="8"/>
      <c r="F1059" s="9"/>
    </row>
    <row r="1060" spans="1:6" ht="15" customHeight="1" x14ac:dyDescent="0.2">
      <c r="A1060" s="3" t="s">
        <v>2644</v>
      </c>
      <c r="B1060" s="3" t="s">
        <v>2560</v>
      </c>
      <c r="C1060" s="3" t="s">
        <v>862</v>
      </c>
      <c r="D1060" s="2"/>
      <c r="E1060" s="2"/>
      <c r="F1060" s="3"/>
    </row>
    <row r="1061" spans="1:6" ht="15" customHeight="1" x14ac:dyDescent="0.2">
      <c r="A1061" s="9" t="s">
        <v>2645</v>
      </c>
      <c r="B1061" s="9" t="s">
        <v>2306</v>
      </c>
      <c r="C1061" s="9" t="s">
        <v>862</v>
      </c>
      <c r="D1061" s="8"/>
      <c r="E1061" s="8"/>
      <c r="F1061" s="9"/>
    </row>
    <row r="1062" spans="1:6" ht="15" customHeight="1" x14ac:dyDescent="0.2">
      <c r="A1062" s="3" t="s">
        <v>2646</v>
      </c>
      <c r="B1062" s="3" t="s">
        <v>2647</v>
      </c>
      <c r="C1062" s="3" t="s">
        <v>862</v>
      </c>
      <c r="D1062" s="2"/>
      <c r="E1062" s="2"/>
      <c r="F1062" s="3"/>
    </row>
    <row r="1063" spans="1:6" ht="15" customHeight="1" x14ac:dyDescent="0.2">
      <c r="A1063" s="9" t="s">
        <v>2648</v>
      </c>
      <c r="B1063" s="9" t="s">
        <v>2649</v>
      </c>
      <c r="C1063" s="9" t="s">
        <v>862</v>
      </c>
      <c r="D1063" s="8"/>
      <c r="E1063" s="8"/>
      <c r="F1063" s="9"/>
    </row>
    <row r="1064" spans="1:6" ht="15" customHeight="1" x14ac:dyDescent="0.2">
      <c r="A1064" s="3" t="s">
        <v>2650</v>
      </c>
      <c r="B1064" s="3" t="s">
        <v>2651</v>
      </c>
      <c r="C1064" s="3" t="s">
        <v>862</v>
      </c>
      <c r="D1064" s="2"/>
      <c r="E1064" s="2"/>
      <c r="F1064" s="3"/>
    </row>
    <row r="1065" spans="1:6" ht="15" customHeight="1" x14ac:dyDescent="0.2">
      <c r="A1065" s="9" t="s">
        <v>2652</v>
      </c>
      <c r="B1065" s="9" t="s">
        <v>2653</v>
      </c>
      <c r="C1065" s="9" t="s">
        <v>1080</v>
      </c>
      <c r="D1065" s="8" t="s">
        <v>2654</v>
      </c>
      <c r="E1065" s="8" t="s">
        <v>874</v>
      </c>
      <c r="F1065" s="9" t="s">
        <v>2655</v>
      </c>
    </row>
    <row r="1066" spans="1:6" ht="15" customHeight="1" x14ac:dyDescent="0.2">
      <c r="A1066" s="3" t="s">
        <v>2656</v>
      </c>
      <c r="B1066" s="3" t="s">
        <v>2657</v>
      </c>
      <c r="C1066" s="3" t="s">
        <v>862</v>
      </c>
      <c r="D1066" s="2" t="s">
        <v>2654</v>
      </c>
      <c r="E1066" s="2" t="s">
        <v>855</v>
      </c>
      <c r="F1066" s="3" t="s">
        <v>2658</v>
      </c>
    </row>
    <row r="1067" spans="1:6" ht="15" customHeight="1" x14ac:dyDescent="0.2">
      <c r="A1067" s="9" t="s">
        <v>2659</v>
      </c>
      <c r="B1067" s="9" t="s">
        <v>2660</v>
      </c>
      <c r="C1067" s="9" t="s">
        <v>862</v>
      </c>
      <c r="D1067" s="8" t="s">
        <v>2654</v>
      </c>
      <c r="E1067" s="8" t="s">
        <v>874</v>
      </c>
      <c r="F1067" s="9" t="s">
        <v>2661</v>
      </c>
    </row>
    <row r="1068" spans="1:6" ht="15" customHeight="1" x14ac:dyDescent="0.2">
      <c r="A1068" s="3" t="s">
        <v>2662</v>
      </c>
      <c r="B1068" s="3" t="s">
        <v>2007</v>
      </c>
      <c r="C1068" s="3" t="s">
        <v>862</v>
      </c>
      <c r="D1068" s="2" t="s">
        <v>2654</v>
      </c>
      <c r="E1068" s="2" t="s">
        <v>874</v>
      </c>
      <c r="F1068" s="3" t="s">
        <v>2663</v>
      </c>
    </row>
    <row r="1069" spans="1:6" ht="15" customHeight="1" x14ac:dyDescent="0.2">
      <c r="A1069" s="9" t="s">
        <v>2664</v>
      </c>
      <c r="B1069" s="9" t="s">
        <v>1574</v>
      </c>
      <c r="C1069" s="9" t="s">
        <v>862</v>
      </c>
      <c r="D1069" s="8" t="s">
        <v>2654</v>
      </c>
      <c r="E1069" s="8" t="s">
        <v>855</v>
      </c>
      <c r="F1069" s="9" t="s">
        <v>2665</v>
      </c>
    </row>
    <row r="1070" spans="1:6" ht="15" customHeight="1" x14ac:dyDescent="0.2">
      <c r="A1070" s="3" t="s">
        <v>2666</v>
      </c>
      <c r="B1070" s="3" t="s">
        <v>2667</v>
      </c>
      <c r="C1070" s="3" t="s">
        <v>862</v>
      </c>
      <c r="D1070" s="2" t="s">
        <v>2654</v>
      </c>
      <c r="E1070" s="2" t="s">
        <v>874</v>
      </c>
      <c r="F1070" s="3" t="s">
        <v>2668</v>
      </c>
    </row>
    <row r="1071" spans="1:6" ht="15" customHeight="1" x14ac:dyDescent="0.2">
      <c r="A1071" s="9" t="s">
        <v>2669</v>
      </c>
      <c r="B1071" s="9" t="s">
        <v>2670</v>
      </c>
      <c r="C1071" s="9" t="s">
        <v>2671</v>
      </c>
      <c r="D1071" s="13" t="s">
        <v>836</v>
      </c>
      <c r="E1071" s="8" t="s">
        <v>837</v>
      </c>
      <c r="F1071" s="9" t="s">
        <v>2672</v>
      </c>
    </row>
    <row r="1072" spans="1:6" ht="15" customHeight="1" x14ac:dyDescent="0.2">
      <c r="A1072" s="3" t="s">
        <v>2673</v>
      </c>
      <c r="B1072" s="3" t="s">
        <v>2674</v>
      </c>
      <c r="C1072" s="3" t="s">
        <v>2671</v>
      </c>
      <c r="D1072" s="13" t="s">
        <v>836</v>
      </c>
      <c r="E1072" s="2" t="s">
        <v>837</v>
      </c>
      <c r="F1072" s="3" t="s">
        <v>2675</v>
      </c>
    </row>
    <row r="1073" spans="1:6" ht="15" customHeight="1" x14ac:dyDescent="0.2">
      <c r="A1073" s="9" t="s">
        <v>2676</v>
      </c>
      <c r="B1073" s="9" t="s">
        <v>2677</v>
      </c>
      <c r="C1073" s="9" t="s">
        <v>2678</v>
      </c>
      <c r="D1073" s="8"/>
      <c r="E1073" s="8"/>
      <c r="F1073" s="9"/>
    </row>
    <row r="1074" spans="1:6" ht="15" customHeight="1" x14ac:dyDescent="0.2">
      <c r="A1074" s="3" t="s">
        <v>2679</v>
      </c>
      <c r="B1074" s="3" t="s">
        <v>2680</v>
      </c>
      <c r="C1074" s="3" t="s">
        <v>2678</v>
      </c>
      <c r="D1074" s="2"/>
      <c r="E1074" s="2"/>
      <c r="F1074" s="3"/>
    </row>
    <row r="1075" spans="1:6" ht="15" customHeight="1" x14ac:dyDescent="0.2">
      <c r="A1075" s="9" t="s">
        <v>2681</v>
      </c>
      <c r="B1075" s="9" t="s">
        <v>2682</v>
      </c>
      <c r="C1075" s="9" t="s">
        <v>2678</v>
      </c>
      <c r="D1075" s="8" t="s">
        <v>2654</v>
      </c>
      <c r="E1075" s="8" t="s">
        <v>2683</v>
      </c>
      <c r="F1075" s="9" t="s">
        <v>2684</v>
      </c>
    </row>
    <row r="1076" spans="1:6" ht="15" customHeight="1" x14ac:dyDescent="0.2">
      <c r="A1076" s="3" t="s">
        <v>2685</v>
      </c>
      <c r="B1076" s="3" t="s">
        <v>2686</v>
      </c>
      <c r="C1076" s="3" t="s">
        <v>2678</v>
      </c>
      <c r="D1076" s="2"/>
      <c r="E1076" s="2"/>
      <c r="F1076" s="3"/>
    </row>
    <row r="1077" spans="1:6" ht="15" customHeight="1" x14ac:dyDescent="0.2">
      <c r="A1077" s="9" t="s">
        <v>2687</v>
      </c>
      <c r="B1077" s="9" t="s">
        <v>2688</v>
      </c>
      <c r="C1077" s="9" t="s">
        <v>2678</v>
      </c>
      <c r="D1077" s="8"/>
      <c r="E1077" s="8"/>
      <c r="F1077" s="9"/>
    </row>
    <row r="1078" spans="1:6" ht="15" customHeight="1" x14ac:dyDescent="0.2">
      <c r="A1078" s="3" t="s">
        <v>2689</v>
      </c>
      <c r="B1078" s="3" t="s">
        <v>2690</v>
      </c>
      <c r="C1078" s="3" t="s">
        <v>2678</v>
      </c>
      <c r="D1078" s="2" t="s">
        <v>2654</v>
      </c>
      <c r="E1078" s="2" t="s">
        <v>874</v>
      </c>
      <c r="F1078" s="3" t="s">
        <v>2691</v>
      </c>
    </row>
    <row r="1079" spans="1:6" ht="15" customHeight="1" x14ac:dyDescent="0.2">
      <c r="A1079" s="9" t="s">
        <v>2692</v>
      </c>
      <c r="B1079" s="9" t="s">
        <v>2693</v>
      </c>
      <c r="C1079" s="9" t="s">
        <v>2678</v>
      </c>
      <c r="D1079" s="8"/>
      <c r="E1079" s="8"/>
      <c r="F1079" s="9"/>
    </row>
    <row r="1080" spans="1:6" ht="15" customHeight="1" x14ac:dyDescent="0.2">
      <c r="A1080" s="3" t="s">
        <v>2694</v>
      </c>
      <c r="B1080" s="3" t="s">
        <v>2695</v>
      </c>
      <c r="C1080" s="3" t="s">
        <v>2678</v>
      </c>
      <c r="D1080" s="2"/>
      <c r="E1080" s="2"/>
      <c r="F1080" s="3"/>
    </row>
    <row r="1081" spans="1:6" ht="15" customHeight="1" x14ac:dyDescent="0.2">
      <c r="A1081" s="9" t="s">
        <v>2696</v>
      </c>
      <c r="B1081" s="9" t="s">
        <v>2697</v>
      </c>
      <c r="C1081" s="9" t="s">
        <v>2678</v>
      </c>
      <c r="D1081" s="8"/>
      <c r="E1081" s="8"/>
      <c r="F1081" s="9"/>
    </row>
    <row r="1082" spans="1:6" ht="15" customHeight="1" x14ac:dyDescent="0.2">
      <c r="A1082" s="3" t="s">
        <v>2698</v>
      </c>
      <c r="B1082" s="3" t="s">
        <v>2699</v>
      </c>
      <c r="C1082" s="3" t="s">
        <v>2678</v>
      </c>
      <c r="D1082" s="2"/>
      <c r="E1082" s="2"/>
      <c r="F1082" s="3"/>
    </row>
    <row r="1083" spans="1:6" ht="15" customHeight="1" x14ac:dyDescent="0.2">
      <c r="A1083" s="9" t="s">
        <v>2700</v>
      </c>
      <c r="B1083" s="9" t="s">
        <v>2701</v>
      </c>
      <c r="C1083" s="9" t="s">
        <v>2678</v>
      </c>
      <c r="D1083" s="8" t="s">
        <v>2654</v>
      </c>
      <c r="E1083" s="8" t="s">
        <v>874</v>
      </c>
      <c r="F1083" s="9" t="s">
        <v>2702</v>
      </c>
    </row>
    <row r="1084" spans="1:6" ht="15" customHeight="1" x14ac:dyDescent="0.2">
      <c r="A1084" s="3" t="s">
        <v>2703</v>
      </c>
      <c r="B1084" s="3" t="s">
        <v>2704</v>
      </c>
      <c r="C1084" s="3" t="s">
        <v>2678</v>
      </c>
      <c r="D1084" s="2"/>
      <c r="E1084" s="2"/>
      <c r="F1084" s="3"/>
    </row>
    <row r="1085" spans="1:6" ht="15" customHeight="1" x14ac:dyDescent="0.2">
      <c r="A1085" s="9" t="s">
        <v>2705</v>
      </c>
      <c r="B1085" s="9" t="s">
        <v>2706</v>
      </c>
      <c r="C1085" s="9" t="s">
        <v>2678</v>
      </c>
      <c r="D1085" s="8" t="s">
        <v>2654</v>
      </c>
      <c r="E1085" s="8" t="s">
        <v>874</v>
      </c>
      <c r="F1085" s="9" t="s">
        <v>2707</v>
      </c>
    </row>
    <row r="1086" spans="1:6" ht="15" customHeight="1" x14ac:dyDescent="0.2">
      <c r="A1086" s="3" t="s">
        <v>2708</v>
      </c>
      <c r="B1086" s="3" t="s">
        <v>2709</v>
      </c>
      <c r="C1086" s="3" t="s">
        <v>2678</v>
      </c>
      <c r="D1086" s="2"/>
      <c r="E1086" s="2"/>
      <c r="F1086" s="3"/>
    </row>
    <row r="1087" spans="1:6" ht="15" customHeight="1" x14ac:dyDescent="0.2">
      <c r="A1087" s="9" t="s">
        <v>2710</v>
      </c>
      <c r="B1087" s="9" t="s">
        <v>2711</v>
      </c>
      <c r="C1087" s="9" t="s">
        <v>2678</v>
      </c>
      <c r="D1087" s="8" t="s">
        <v>2654</v>
      </c>
      <c r="E1087" s="8" t="s">
        <v>874</v>
      </c>
      <c r="F1087" s="9" t="s">
        <v>2712</v>
      </c>
    </row>
    <row r="1088" spans="1:6" ht="15" customHeight="1" x14ac:dyDescent="0.2">
      <c r="A1088" s="3" t="s">
        <v>2713</v>
      </c>
      <c r="B1088" s="3" t="s">
        <v>2714</v>
      </c>
      <c r="C1088" s="3" t="s">
        <v>2678</v>
      </c>
      <c r="D1088" s="2"/>
      <c r="E1088" s="2"/>
      <c r="F1088" s="3"/>
    </row>
    <row r="1089" spans="1:6" ht="15" customHeight="1" x14ac:dyDescent="0.2">
      <c r="A1089" s="9" t="s">
        <v>2715</v>
      </c>
      <c r="B1089" s="9" t="s">
        <v>2716</v>
      </c>
      <c r="C1089" s="9" t="s">
        <v>2678</v>
      </c>
      <c r="D1089" s="8" t="s">
        <v>2654</v>
      </c>
      <c r="E1089" s="8" t="s">
        <v>874</v>
      </c>
      <c r="F1089" s="9" t="s">
        <v>2717</v>
      </c>
    </row>
    <row r="1090" spans="1:6" ht="15" customHeight="1" x14ac:dyDescent="0.2">
      <c r="A1090" s="3" t="s">
        <v>2718</v>
      </c>
      <c r="B1090" s="3" t="s">
        <v>2719</v>
      </c>
      <c r="C1090" s="3" t="s">
        <v>2678</v>
      </c>
      <c r="D1090" s="2"/>
      <c r="E1090" s="2"/>
      <c r="F1090" s="3"/>
    </row>
    <row r="1091" spans="1:6" ht="15" customHeight="1" x14ac:dyDescent="0.2">
      <c r="A1091" s="9" t="s">
        <v>2720</v>
      </c>
      <c r="B1091" s="9" t="s">
        <v>2721</v>
      </c>
      <c r="C1091" s="9" t="s">
        <v>2678</v>
      </c>
      <c r="D1091" s="8"/>
      <c r="E1091" s="8"/>
      <c r="F1091" s="9"/>
    </row>
    <row r="1092" spans="1:6" ht="15" customHeight="1" x14ac:dyDescent="0.2">
      <c r="A1092" s="3" t="s">
        <v>2722</v>
      </c>
      <c r="B1092" s="3" t="s">
        <v>2723</v>
      </c>
      <c r="C1092" s="3" t="s">
        <v>2678</v>
      </c>
      <c r="D1092" s="2" t="s">
        <v>2654</v>
      </c>
      <c r="E1092" s="2" t="s">
        <v>2683</v>
      </c>
      <c r="F1092" s="3" t="s">
        <v>2724</v>
      </c>
    </row>
    <row r="1093" spans="1:6" ht="15" customHeight="1" x14ac:dyDescent="0.2">
      <c r="A1093" s="9" t="s">
        <v>2725</v>
      </c>
      <c r="B1093" s="9" t="s">
        <v>2726</v>
      </c>
      <c r="C1093" s="9" t="s">
        <v>2678</v>
      </c>
      <c r="D1093" s="8"/>
      <c r="E1093" s="8"/>
      <c r="F1093" s="9"/>
    </row>
    <row r="1094" spans="1:6" ht="15" customHeight="1" x14ac:dyDescent="0.2">
      <c r="A1094" s="3" t="s">
        <v>2727</v>
      </c>
      <c r="B1094" s="3" t="s">
        <v>2728</v>
      </c>
      <c r="C1094" s="3" t="s">
        <v>2678</v>
      </c>
      <c r="D1094" s="7" t="s">
        <v>870</v>
      </c>
      <c r="E1094" s="2" t="s">
        <v>874</v>
      </c>
      <c r="F1094" s="3" t="s">
        <v>2729</v>
      </c>
    </row>
    <row r="1095" spans="1:6" ht="15" customHeight="1" x14ac:dyDescent="0.2">
      <c r="A1095" s="9" t="s">
        <v>2730</v>
      </c>
      <c r="B1095" s="9" t="s">
        <v>2731</v>
      </c>
      <c r="C1095" s="9" t="s">
        <v>2678</v>
      </c>
      <c r="D1095" s="8" t="s">
        <v>2654</v>
      </c>
      <c r="E1095" s="8" t="s">
        <v>874</v>
      </c>
      <c r="F1095" s="9" t="s">
        <v>2732</v>
      </c>
    </row>
    <row r="1096" spans="1:6" ht="15" customHeight="1" x14ac:dyDescent="0.2">
      <c r="A1096" s="3" t="s">
        <v>2733</v>
      </c>
      <c r="B1096" s="3" t="s">
        <v>2734</v>
      </c>
      <c r="C1096" s="3" t="s">
        <v>2678</v>
      </c>
      <c r="D1096" s="2" t="s">
        <v>2654</v>
      </c>
      <c r="E1096" s="2" t="s">
        <v>874</v>
      </c>
      <c r="F1096" s="3" t="s">
        <v>2735</v>
      </c>
    </row>
    <row r="1097" spans="1:6" ht="15" customHeight="1" x14ac:dyDescent="0.2">
      <c r="A1097" s="9" t="s">
        <v>2736</v>
      </c>
      <c r="B1097" s="9" t="s">
        <v>2737</v>
      </c>
      <c r="C1097" s="9" t="s">
        <v>2678</v>
      </c>
      <c r="D1097" s="8"/>
      <c r="E1097" s="8"/>
      <c r="F1097" s="9"/>
    </row>
    <row r="1098" spans="1:6" ht="15" customHeight="1" x14ac:dyDescent="0.2">
      <c r="A1098" s="3" t="s">
        <v>2738</v>
      </c>
      <c r="B1098" s="3" t="s">
        <v>2739</v>
      </c>
      <c r="C1098" s="3" t="s">
        <v>2678</v>
      </c>
      <c r="D1098" s="2" t="s">
        <v>892</v>
      </c>
      <c r="E1098" s="2" t="s">
        <v>837</v>
      </c>
      <c r="F1098" s="3" t="s">
        <v>2740</v>
      </c>
    </row>
    <row r="1099" spans="1:6" ht="15" customHeight="1" x14ac:dyDescent="0.2">
      <c r="A1099" s="9" t="s">
        <v>2741</v>
      </c>
      <c r="B1099" s="9" t="s">
        <v>2742</v>
      </c>
      <c r="C1099" s="9" t="s">
        <v>2678</v>
      </c>
      <c r="D1099" s="8" t="s">
        <v>2654</v>
      </c>
      <c r="E1099" s="8" t="s">
        <v>874</v>
      </c>
      <c r="F1099" s="9" t="s">
        <v>2743</v>
      </c>
    </row>
    <row r="1100" spans="1:6" ht="15" customHeight="1" x14ac:dyDescent="0.2">
      <c r="A1100" s="3" t="s">
        <v>2744</v>
      </c>
      <c r="B1100" s="3" t="s">
        <v>2745</v>
      </c>
      <c r="C1100" s="3" t="s">
        <v>2678</v>
      </c>
      <c r="D1100" s="2" t="s">
        <v>892</v>
      </c>
      <c r="E1100" s="2" t="s">
        <v>837</v>
      </c>
      <c r="F1100" s="3" t="s">
        <v>2746</v>
      </c>
    </row>
    <row r="1101" spans="1:6" ht="15" customHeight="1" x14ac:dyDescent="0.2">
      <c r="A1101" s="9" t="s">
        <v>2747</v>
      </c>
      <c r="B1101" s="9" t="s">
        <v>2748</v>
      </c>
      <c r="C1101" s="9" t="s">
        <v>2678</v>
      </c>
      <c r="D1101" s="13" t="s">
        <v>836</v>
      </c>
      <c r="E1101" s="8" t="s">
        <v>837</v>
      </c>
      <c r="F1101" s="9" t="s">
        <v>2749</v>
      </c>
    </row>
    <row r="1102" spans="1:6" ht="15" customHeight="1" x14ac:dyDescent="0.2">
      <c r="A1102" s="3" t="s">
        <v>2750</v>
      </c>
      <c r="B1102" s="3" t="s">
        <v>2751</v>
      </c>
      <c r="C1102" s="3" t="s">
        <v>2678</v>
      </c>
      <c r="D1102" s="2" t="s">
        <v>892</v>
      </c>
      <c r="E1102" s="2" t="s">
        <v>893</v>
      </c>
      <c r="F1102" s="3" t="s">
        <v>2752</v>
      </c>
    </row>
    <row r="1103" spans="1:6" ht="15" customHeight="1" x14ac:dyDescent="0.2">
      <c r="A1103" s="9" t="s">
        <v>2753</v>
      </c>
      <c r="B1103" s="9" t="s">
        <v>2754</v>
      </c>
      <c r="C1103" s="9" t="s">
        <v>2678</v>
      </c>
      <c r="D1103" s="8" t="s">
        <v>2654</v>
      </c>
      <c r="E1103" s="8" t="s">
        <v>874</v>
      </c>
      <c r="F1103" s="9" t="s">
        <v>2755</v>
      </c>
    </row>
    <row r="1104" spans="1:6" ht="15" customHeight="1" x14ac:dyDescent="0.2">
      <c r="A1104" s="3" t="s">
        <v>2756</v>
      </c>
      <c r="B1104" s="3" t="s">
        <v>2757</v>
      </c>
      <c r="C1104" s="3" t="s">
        <v>2678</v>
      </c>
      <c r="D1104" s="2" t="s">
        <v>2654</v>
      </c>
      <c r="E1104" s="2" t="s">
        <v>874</v>
      </c>
      <c r="F1104" s="3" t="s">
        <v>2758</v>
      </c>
    </row>
    <row r="1105" spans="1:6" ht="15" customHeight="1" x14ac:dyDescent="0.2">
      <c r="A1105" s="9" t="s">
        <v>2759</v>
      </c>
      <c r="B1105" s="9" t="s">
        <v>2714</v>
      </c>
      <c r="C1105" s="9" t="s">
        <v>2678</v>
      </c>
      <c r="D1105" s="8"/>
      <c r="E1105" s="8"/>
      <c r="F1105" s="9"/>
    </row>
    <row r="1106" spans="1:6" ht="15" customHeight="1" x14ac:dyDescent="0.2">
      <c r="A1106" s="3" t="s">
        <v>2760</v>
      </c>
      <c r="B1106" s="3" t="s">
        <v>2761</v>
      </c>
      <c r="C1106" s="3" t="s">
        <v>2678</v>
      </c>
      <c r="D1106" s="2" t="s">
        <v>2654</v>
      </c>
      <c r="E1106" s="2" t="s">
        <v>874</v>
      </c>
      <c r="F1106" s="3" t="s">
        <v>2762</v>
      </c>
    </row>
    <row r="1107" spans="1:6" ht="15" customHeight="1" x14ac:dyDescent="0.2">
      <c r="A1107" s="9" t="s">
        <v>2763</v>
      </c>
      <c r="B1107" s="9" t="s">
        <v>2764</v>
      </c>
      <c r="C1107" s="9" t="s">
        <v>2678</v>
      </c>
      <c r="D1107" s="8"/>
      <c r="E1107" s="8"/>
      <c r="F1107" s="9"/>
    </row>
    <row r="1108" spans="1:6" ht="15" customHeight="1" x14ac:dyDescent="0.2">
      <c r="A1108" s="3" t="s">
        <v>2765</v>
      </c>
      <c r="B1108" s="3" t="s">
        <v>2766</v>
      </c>
      <c r="C1108" s="3" t="s">
        <v>2678</v>
      </c>
      <c r="D1108" s="2"/>
      <c r="E1108" s="2"/>
      <c r="F1108" s="3"/>
    </row>
    <row r="1109" spans="1:6" ht="15" customHeight="1" x14ac:dyDescent="0.2">
      <c r="A1109" s="9" t="s">
        <v>2767</v>
      </c>
      <c r="B1109" s="9" t="s">
        <v>2768</v>
      </c>
      <c r="C1109" s="9" t="s">
        <v>2678</v>
      </c>
      <c r="D1109" s="7" t="s">
        <v>870</v>
      </c>
      <c r="E1109" s="8" t="s">
        <v>855</v>
      </c>
      <c r="F1109" s="9" t="s">
        <v>2769</v>
      </c>
    </row>
    <row r="1110" spans="1:6" ht="15" customHeight="1" x14ac:dyDescent="0.2">
      <c r="A1110" s="3" t="s">
        <v>2770</v>
      </c>
      <c r="B1110" s="3" t="s">
        <v>2771</v>
      </c>
      <c r="C1110" s="3" t="s">
        <v>2678</v>
      </c>
      <c r="D1110" s="2"/>
      <c r="E1110" s="2"/>
      <c r="F1110" s="3"/>
    </row>
    <row r="1111" spans="1:6" ht="15" customHeight="1" x14ac:dyDescent="0.2">
      <c r="A1111" s="9" t="s">
        <v>2772</v>
      </c>
      <c r="B1111" s="9" t="s">
        <v>2773</v>
      </c>
      <c r="C1111" s="9" t="s">
        <v>2678</v>
      </c>
      <c r="D1111" s="8" t="s">
        <v>2654</v>
      </c>
      <c r="E1111" s="8" t="s">
        <v>874</v>
      </c>
      <c r="F1111" s="9" t="s">
        <v>2774</v>
      </c>
    </row>
    <row r="1112" spans="1:6" ht="15" customHeight="1" x14ac:dyDescent="0.2">
      <c r="A1112" s="3" t="s">
        <v>2775</v>
      </c>
      <c r="B1112" s="3" t="s">
        <v>2776</v>
      </c>
      <c r="C1112" s="3" t="s">
        <v>2678</v>
      </c>
      <c r="D1112" s="2"/>
      <c r="E1112" s="2"/>
      <c r="F1112" s="3"/>
    </row>
    <row r="1113" spans="1:6" ht="15" customHeight="1" x14ac:dyDescent="0.2">
      <c r="A1113" s="9" t="s">
        <v>2777</v>
      </c>
      <c r="B1113" s="9" t="s">
        <v>2778</v>
      </c>
      <c r="C1113" s="9" t="s">
        <v>2678</v>
      </c>
      <c r="D1113" s="8"/>
      <c r="E1113" s="8"/>
      <c r="F1113" s="9"/>
    </row>
    <row r="1114" spans="1:6" ht="15" customHeight="1" x14ac:dyDescent="0.2">
      <c r="A1114" s="3" t="s">
        <v>2779</v>
      </c>
      <c r="B1114" s="3" t="s">
        <v>2780</v>
      </c>
      <c r="C1114" s="3" t="s">
        <v>2678</v>
      </c>
      <c r="D1114" s="7" t="s">
        <v>870</v>
      </c>
      <c r="E1114" s="2" t="s">
        <v>855</v>
      </c>
      <c r="F1114" s="3" t="s">
        <v>529</v>
      </c>
    </row>
    <row r="1115" spans="1:6" ht="15" customHeight="1" x14ac:dyDescent="0.2">
      <c r="A1115" s="9" t="s">
        <v>2781</v>
      </c>
      <c r="B1115" s="9" t="s">
        <v>2782</v>
      </c>
      <c r="C1115" s="9" t="s">
        <v>2678</v>
      </c>
      <c r="D1115" s="8" t="s">
        <v>892</v>
      </c>
      <c r="E1115" s="8" t="s">
        <v>893</v>
      </c>
      <c r="F1115" s="9" t="s">
        <v>2783</v>
      </c>
    </row>
    <row r="1116" spans="1:6" ht="15" customHeight="1" x14ac:dyDescent="0.2">
      <c r="A1116" s="3" t="s">
        <v>2784</v>
      </c>
      <c r="B1116" s="3" t="s">
        <v>2785</v>
      </c>
      <c r="C1116" s="3" t="s">
        <v>2678</v>
      </c>
      <c r="D1116" s="2"/>
      <c r="E1116" s="2"/>
      <c r="F1116" s="3"/>
    </row>
    <row r="1117" spans="1:6" ht="15" customHeight="1" x14ac:dyDescent="0.2">
      <c r="A1117" s="9" t="s">
        <v>2786</v>
      </c>
      <c r="B1117" s="9" t="s">
        <v>2787</v>
      </c>
      <c r="C1117" s="9" t="s">
        <v>2678</v>
      </c>
      <c r="D1117" s="8" t="s">
        <v>2654</v>
      </c>
      <c r="E1117" s="8" t="s">
        <v>874</v>
      </c>
      <c r="F1117" s="9" t="s">
        <v>2788</v>
      </c>
    </row>
    <row r="1118" spans="1:6" ht="15" customHeight="1" x14ac:dyDescent="0.2">
      <c r="A1118" s="3" t="s">
        <v>2789</v>
      </c>
      <c r="B1118" s="3" t="s">
        <v>2790</v>
      </c>
      <c r="C1118" s="3" t="s">
        <v>2678</v>
      </c>
      <c r="D1118" s="2" t="s">
        <v>2654</v>
      </c>
      <c r="E1118" s="2" t="s">
        <v>874</v>
      </c>
      <c r="F1118" s="3" t="s">
        <v>2791</v>
      </c>
    </row>
    <row r="1119" spans="1:6" ht="15" customHeight="1" x14ac:dyDescent="0.2">
      <c r="A1119" s="9" t="s">
        <v>2792</v>
      </c>
      <c r="B1119" s="9" t="s">
        <v>2793</v>
      </c>
      <c r="C1119" s="9" t="s">
        <v>2678</v>
      </c>
      <c r="D1119" s="8" t="s">
        <v>2654</v>
      </c>
      <c r="E1119" s="8" t="s">
        <v>874</v>
      </c>
      <c r="F1119" s="9" t="s">
        <v>2794</v>
      </c>
    </row>
    <row r="1120" spans="1:6" ht="15" customHeight="1" x14ac:dyDescent="0.2">
      <c r="A1120" s="3" t="s">
        <v>2795</v>
      </c>
      <c r="B1120" s="3" t="s">
        <v>2796</v>
      </c>
      <c r="C1120" s="3" t="s">
        <v>2678</v>
      </c>
      <c r="D1120" s="2"/>
      <c r="E1120" s="2"/>
      <c r="F1120" s="3"/>
    </row>
    <row r="1121" spans="1:6" ht="15" customHeight="1" x14ac:dyDescent="0.2">
      <c r="A1121" s="9" t="s">
        <v>2797</v>
      </c>
      <c r="B1121" s="9" t="s">
        <v>2798</v>
      </c>
      <c r="C1121" s="9" t="s">
        <v>2678</v>
      </c>
      <c r="D1121" s="8" t="s">
        <v>2654</v>
      </c>
      <c r="E1121" s="8" t="s">
        <v>874</v>
      </c>
      <c r="F1121" s="9" t="s">
        <v>2799</v>
      </c>
    </row>
    <row r="1122" spans="1:6" ht="15" customHeight="1" x14ac:dyDescent="0.2">
      <c r="A1122" s="3" t="s">
        <v>2800</v>
      </c>
      <c r="B1122" s="3" t="s">
        <v>2801</v>
      </c>
      <c r="C1122" s="3" t="s">
        <v>2678</v>
      </c>
      <c r="D1122" s="2"/>
      <c r="E1122" s="2"/>
      <c r="F1122" s="3"/>
    </row>
    <row r="1123" spans="1:6" ht="15" customHeight="1" x14ac:dyDescent="0.2">
      <c r="A1123" s="9" t="s">
        <v>2802</v>
      </c>
      <c r="B1123" s="9" t="s">
        <v>2803</v>
      </c>
      <c r="C1123" s="9" t="s">
        <v>2678</v>
      </c>
      <c r="D1123" s="8"/>
      <c r="E1123" s="8"/>
      <c r="F1123" s="9"/>
    </row>
    <row r="1124" spans="1:6" ht="15" customHeight="1" x14ac:dyDescent="0.2">
      <c r="A1124" s="3" t="s">
        <v>2804</v>
      </c>
      <c r="B1124" s="3" t="s">
        <v>2805</v>
      </c>
      <c r="C1124" s="3" t="s">
        <v>2678</v>
      </c>
      <c r="D1124" s="2" t="s">
        <v>2654</v>
      </c>
      <c r="E1124" s="2" t="s">
        <v>874</v>
      </c>
      <c r="F1124" s="3" t="s">
        <v>2806</v>
      </c>
    </row>
    <row r="1125" spans="1:6" ht="15" customHeight="1" x14ac:dyDescent="0.2">
      <c r="A1125" s="9" t="s">
        <v>2807</v>
      </c>
      <c r="B1125" s="9" t="s">
        <v>2808</v>
      </c>
      <c r="C1125" s="9" t="s">
        <v>2678</v>
      </c>
      <c r="D1125" s="8"/>
      <c r="E1125" s="8"/>
      <c r="F1125" s="9"/>
    </row>
    <row r="1126" spans="1:6" ht="15" customHeight="1" x14ac:dyDescent="0.2">
      <c r="A1126" s="3" t="s">
        <v>2809</v>
      </c>
      <c r="B1126" s="3" t="s">
        <v>2810</v>
      </c>
      <c r="C1126" s="3" t="s">
        <v>2678</v>
      </c>
      <c r="D1126" s="2" t="s">
        <v>2654</v>
      </c>
      <c r="E1126" s="2" t="s">
        <v>874</v>
      </c>
      <c r="F1126" s="3" t="s">
        <v>2806</v>
      </c>
    </row>
    <row r="1127" spans="1:6" ht="15" customHeight="1" x14ac:dyDescent="0.2">
      <c r="A1127" s="9" t="s">
        <v>2811</v>
      </c>
      <c r="B1127" s="9" t="s">
        <v>2812</v>
      </c>
      <c r="C1127" s="9" t="s">
        <v>2678</v>
      </c>
      <c r="D1127" s="8" t="s">
        <v>2654</v>
      </c>
      <c r="E1127" s="8" t="s">
        <v>874</v>
      </c>
      <c r="F1127" s="9" t="s">
        <v>2813</v>
      </c>
    </row>
    <row r="1128" spans="1:6" ht="15" customHeight="1" x14ac:dyDescent="0.2">
      <c r="A1128" s="3" t="s">
        <v>2814</v>
      </c>
      <c r="B1128" s="3" t="s">
        <v>2815</v>
      </c>
      <c r="C1128" s="3" t="s">
        <v>2678</v>
      </c>
      <c r="D1128" s="2"/>
      <c r="E1128" s="2"/>
      <c r="F1128" s="3"/>
    </row>
    <row r="1129" spans="1:6" ht="15" customHeight="1" x14ac:dyDescent="0.2">
      <c r="A1129" s="9" t="s">
        <v>2816</v>
      </c>
      <c r="B1129" s="9" t="s">
        <v>2817</v>
      </c>
      <c r="C1129" s="9" t="s">
        <v>2678</v>
      </c>
      <c r="D1129" s="8" t="s">
        <v>2654</v>
      </c>
      <c r="E1129" s="8" t="s">
        <v>874</v>
      </c>
      <c r="F1129" s="9" t="s">
        <v>2818</v>
      </c>
    </row>
    <row r="1130" spans="1:6" ht="15" customHeight="1" x14ac:dyDescent="0.2">
      <c r="A1130" s="3" t="s">
        <v>2819</v>
      </c>
      <c r="B1130" s="3" t="s">
        <v>2820</v>
      </c>
      <c r="C1130" s="3" t="s">
        <v>2678</v>
      </c>
      <c r="D1130" s="2"/>
      <c r="E1130" s="2"/>
      <c r="F1130" s="3"/>
    </row>
    <row r="1131" spans="1:6" ht="15" customHeight="1" x14ac:dyDescent="0.2">
      <c r="A1131" s="9" t="s">
        <v>2821</v>
      </c>
      <c r="B1131" s="9" t="s">
        <v>2822</v>
      </c>
      <c r="C1131" s="9" t="s">
        <v>2678</v>
      </c>
      <c r="D1131" s="8" t="s">
        <v>2654</v>
      </c>
      <c r="E1131" s="8" t="s">
        <v>874</v>
      </c>
      <c r="F1131" s="9" t="s">
        <v>2823</v>
      </c>
    </row>
    <row r="1132" spans="1:6" ht="15" customHeight="1" x14ac:dyDescent="0.2">
      <c r="A1132" s="3" t="s">
        <v>2824</v>
      </c>
      <c r="B1132" s="3" t="s">
        <v>2825</v>
      </c>
      <c r="C1132" s="3" t="s">
        <v>2678</v>
      </c>
      <c r="D1132" s="2"/>
      <c r="E1132" s="2"/>
      <c r="F1132" s="3"/>
    </row>
    <row r="1133" spans="1:6" ht="15" customHeight="1" x14ac:dyDescent="0.2">
      <c r="A1133" s="9" t="s">
        <v>2826</v>
      </c>
      <c r="B1133" s="9" t="s">
        <v>2827</v>
      </c>
      <c r="C1133" s="9" t="s">
        <v>2678</v>
      </c>
      <c r="D1133" s="8"/>
      <c r="E1133" s="8"/>
      <c r="F1133" s="9"/>
    </row>
    <row r="1134" spans="1:6" ht="15" customHeight="1" x14ac:dyDescent="0.2">
      <c r="A1134" s="3" t="s">
        <v>2828</v>
      </c>
      <c r="B1134" s="3" t="s">
        <v>2829</v>
      </c>
      <c r="C1134" s="3" t="s">
        <v>2678</v>
      </c>
      <c r="D1134" s="13" t="s">
        <v>836</v>
      </c>
      <c r="E1134" s="2" t="s">
        <v>837</v>
      </c>
      <c r="F1134" s="3" t="s">
        <v>2830</v>
      </c>
    </row>
    <row r="1135" spans="1:6" ht="15" customHeight="1" x14ac:dyDescent="0.2">
      <c r="A1135" s="9" t="s">
        <v>2831</v>
      </c>
      <c r="B1135" s="9" t="s">
        <v>2832</v>
      </c>
      <c r="C1135" s="9" t="s">
        <v>2678</v>
      </c>
      <c r="D1135" s="8" t="s">
        <v>2654</v>
      </c>
      <c r="E1135" s="8" t="s">
        <v>874</v>
      </c>
      <c r="F1135" s="9" t="s">
        <v>2833</v>
      </c>
    </row>
    <row r="1136" spans="1:6" ht="15" customHeight="1" x14ac:dyDescent="0.2">
      <c r="A1136" s="3" t="s">
        <v>2834</v>
      </c>
      <c r="B1136" s="3" t="s">
        <v>2835</v>
      </c>
      <c r="C1136" s="3" t="s">
        <v>2678</v>
      </c>
      <c r="D1136" s="2" t="s">
        <v>2654</v>
      </c>
      <c r="E1136" s="2" t="s">
        <v>874</v>
      </c>
      <c r="F1136" s="3" t="s">
        <v>2836</v>
      </c>
    </row>
    <row r="1137" spans="1:6" ht="15" customHeight="1" x14ac:dyDescent="0.2">
      <c r="A1137" s="9" t="s">
        <v>2837</v>
      </c>
      <c r="B1137" s="9" t="s">
        <v>2838</v>
      </c>
      <c r="C1137" s="9" t="s">
        <v>2678</v>
      </c>
      <c r="D1137" s="8" t="s">
        <v>2654</v>
      </c>
      <c r="E1137" s="8" t="s">
        <v>874</v>
      </c>
      <c r="F1137" s="9" t="s">
        <v>2839</v>
      </c>
    </row>
    <row r="1138" spans="1:6" ht="15" customHeight="1" x14ac:dyDescent="0.2">
      <c r="A1138" s="3" t="s">
        <v>2840</v>
      </c>
      <c r="B1138" s="3" t="s">
        <v>2841</v>
      </c>
      <c r="C1138" s="3" t="s">
        <v>2678</v>
      </c>
      <c r="D1138" s="2" t="s">
        <v>892</v>
      </c>
      <c r="E1138" s="2" t="s">
        <v>893</v>
      </c>
      <c r="F1138" s="3" t="s">
        <v>2842</v>
      </c>
    </row>
    <row r="1139" spans="1:6" ht="15" customHeight="1" x14ac:dyDescent="0.2">
      <c r="A1139" s="9" t="s">
        <v>2843</v>
      </c>
      <c r="B1139" s="9" t="s">
        <v>2844</v>
      </c>
      <c r="C1139" s="9" t="s">
        <v>2678</v>
      </c>
      <c r="D1139" s="8"/>
      <c r="E1139" s="8"/>
      <c r="F1139" s="9"/>
    </row>
    <row r="1140" spans="1:6" ht="15" customHeight="1" x14ac:dyDescent="0.2">
      <c r="A1140" s="3" t="s">
        <v>2845</v>
      </c>
      <c r="B1140" s="3" t="s">
        <v>2846</v>
      </c>
      <c r="C1140" s="3" t="s">
        <v>2678</v>
      </c>
      <c r="D1140" s="7" t="s">
        <v>870</v>
      </c>
      <c r="E1140" s="2" t="s">
        <v>855</v>
      </c>
      <c r="F1140" s="3" t="s">
        <v>2847</v>
      </c>
    </row>
    <row r="1141" spans="1:6" ht="15" customHeight="1" x14ac:dyDescent="0.2">
      <c r="A1141" s="9" t="s">
        <v>2848</v>
      </c>
      <c r="B1141" s="9" t="s">
        <v>2849</v>
      </c>
      <c r="C1141" s="9" t="s">
        <v>2678</v>
      </c>
      <c r="D1141" s="8" t="s">
        <v>2654</v>
      </c>
      <c r="E1141" s="8" t="s">
        <v>874</v>
      </c>
      <c r="F1141" s="9" t="s">
        <v>2850</v>
      </c>
    </row>
    <row r="1142" spans="1:6" ht="15" customHeight="1" x14ac:dyDescent="0.2">
      <c r="A1142" s="3" t="s">
        <v>2851</v>
      </c>
      <c r="B1142" s="3" t="s">
        <v>2852</v>
      </c>
      <c r="C1142" s="3" t="s">
        <v>2678</v>
      </c>
      <c r="D1142" s="2"/>
      <c r="E1142" s="2"/>
      <c r="F1142" s="3"/>
    </row>
    <row r="1143" spans="1:6" ht="15" customHeight="1" x14ac:dyDescent="0.2">
      <c r="A1143" s="9" t="s">
        <v>2853</v>
      </c>
      <c r="B1143" s="9" t="s">
        <v>2854</v>
      </c>
      <c r="C1143" s="9" t="s">
        <v>2678</v>
      </c>
      <c r="D1143" s="8"/>
      <c r="E1143" s="8"/>
      <c r="F1143" s="9"/>
    </row>
    <row r="1144" spans="1:6" ht="15" customHeight="1" x14ac:dyDescent="0.2">
      <c r="A1144" s="3" t="s">
        <v>2855</v>
      </c>
      <c r="B1144" s="3" t="s">
        <v>2856</v>
      </c>
      <c r="C1144" s="3" t="s">
        <v>2678</v>
      </c>
      <c r="D1144" s="2"/>
      <c r="E1144" s="2"/>
      <c r="F1144" s="3"/>
    </row>
    <row r="1145" spans="1:6" ht="15" customHeight="1" x14ac:dyDescent="0.2">
      <c r="A1145" s="9" t="s">
        <v>2857</v>
      </c>
      <c r="B1145" s="9" t="s">
        <v>2858</v>
      </c>
      <c r="C1145" s="9" t="s">
        <v>2678</v>
      </c>
      <c r="D1145" s="8"/>
      <c r="E1145" s="8"/>
      <c r="F1145" s="9"/>
    </row>
    <row r="1146" spans="1:6" ht="15" customHeight="1" x14ac:dyDescent="0.2">
      <c r="A1146" s="3" t="s">
        <v>2859</v>
      </c>
      <c r="B1146" s="3" t="s">
        <v>2860</v>
      </c>
      <c r="C1146" s="3" t="s">
        <v>2678</v>
      </c>
      <c r="D1146" s="2"/>
      <c r="E1146" s="2"/>
      <c r="F1146" s="3"/>
    </row>
    <row r="1147" spans="1:6" ht="15" customHeight="1" x14ac:dyDescent="0.2">
      <c r="A1147" s="9" t="s">
        <v>2861</v>
      </c>
      <c r="B1147" s="9" t="s">
        <v>2862</v>
      </c>
      <c r="C1147" s="9" t="s">
        <v>2678</v>
      </c>
      <c r="D1147" s="8"/>
      <c r="E1147" s="8"/>
      <c r="F1147" s="9"/>
    </row>
    <row r="1148" spans="1:6" ht="15" customHeight="1" x14ac:dyDescent="0.2">
      <c r="A1148" s="3" t="s">
        <v>2863</v>
      </c>
      <c r="B1148" s="3" t="s">
        <v>2864</v>
      </c>
      <c r="C1148" s="3" t="s">
        <v>2678</v>
      </c>
      <c r="D1148" s="2"/>
      <c r="E1148" s="2"/>
      <c r="F1148" s="3"/>
    </row>
    <row r="1149" spans="1:6" ht="15" customHeight="1" x14ac:dyDescent="0.2">
      <c r="A1149" s="9" t="s">
        <v>2865</v>
      </c>
      <c r="B1149" s="9" t="s">
        <v>2866</v>
      </c>
      <c r="C1149" s="9" t="s">
        <v>2678</v>
      </c>
      <c r="D1149" s="8"/>
      <c r="E1149" s="8"/>
      <c r="F1149" s="9"/>
    </row>
    <row r="1150" spans="1:6" ht="15" customHeight="1" x14ac:dyDescent="0.2">
      <c r="A1150" s="3" t="s">
        <v>2867</v>
      </c>
      <c r="B1150" s="3" t="s">
        <v>2868</v>
      </c>
      <c r="C1150" s="3" t="s">
        <v>2678</v>
      </c>
      <c r="D1150" s="2"/>
      <c r="E1150" s="2"/>
      <c r="F1150" s="3"/>
    </row>
    <row r="1151" spans="1:6" ht="15" customHeight="1" x14ac:dyDescent="0.2">
      <c r="A1151" s="9" t="s">
        <v>2869</v>
      </c>
      <c r="B1151" s="9" t="s">
        <v>2870</v>
      </c>
      <c r="C1151" s="9" t="s">
        <v>2678</v>
      </c>
      <c r="D1151" s="8"/>
      <c r="E1151" s="8"/>
      <c r="F1151" s="9"/>
    </row>
    <row r="1152" spans="1:6" ht="15" customHeight="1" x14ac:dyDescent="0.2">
      <c r="A1152" s="3" t="s">
        <v>2871</v>
      </c>
      <c r="B1152" s="3" t="s">
        <v>2872</v>
      </c>
      <c r="C1152" s="3" t="s">
        <v>2678</v>
      </c>
      <c r="D1152" s="2"/>
      <c r="E1152" s="2"/>
      <c r="F1152" s="3"/>
    </row>
    <row r="1153" spans="1:6" ht="15" customHeight="1" x14ac:dyDescent="0.2">
      <c r="A1153" s="9" t="s">
        <v>2873</v>
      </c>
      <c r="B1153" s="9" t="s">
        <v>2874</v>
      </c>
      <c r="C1153" s="9" t="s">
        <v>2678</v>
      </c>
      <c r="D1153" s="8"/>
      <c r="E1153" s="8"/>
      <c r="F1153" s="9"/>
    </row>
    <row r="1154" spans="1:6" ht="15" customHeight="1" x14ac:dyDescent="0.2">
      <c r="A1154" s="3" t="s">
        <v>2875</v>
      </c>
      <c r="B1154" s="3" t="s">
        <v>2876</v>
      </c>
      <c r="C1154" s="3" t="s">
        <v>2678</v>
      </c>
      <c r="D1154" s="2"/>
      <c r="E1154" s="2"/>
      <c r="F1154" s="3"/>
    </row>
    <row r="1155" spans="1:6" ht="15" customHeight="1" x14ac:dyDescent="0.2">
      <c r="A1155" s="9" t="s">
        <v>2877</v>
      </c>
      <c r="B1155" s="9" t="s">
        <v>2878</v>
      </c>
      <c r="C1155" s="9" t="s">
        <v>2678</v>
      </c>
      <c r="D1155" s="8"/>
      <c r="E1155" s="8"/>
      <c r="F1155" s="9"/>
    </row>
    <row r="1156" spans="1:6" ht="15" customHeight="1" x14ac:dyDescent="0.2">
      <c r="A1156" s="3" t="s">
        <v>2879</v>
      </c>
      <c r="B1156" s="3" t="s">
        <v>2880</v>
      </c>
      <c r="C1156" s="3" t="s">
        <v>2678</v>
      </c>
      <c r="D1156" s="2"/>
      <c r="E1156" s="2"/>
      <c r="F1156" s="3"/>
    </row>
    <row r="1157" spans="1:6" ht="15" customHeight="1" x14ac:dyDescent="0.2">
      <c r="A1157" s="9" t="s">
        <v>2881</v>
      </c>
      <c r="B1157" s="9" t="s">
        <v>2882</v>
      </c>
      <c r="C1157" s="9" t="s">
        <v>2678</v>
      </c>
      <c r="D1157" s="8"/>
      <c r="E1157" s="8"/>
      <c r="F1157" s="9"/>
    </row>
    <row r="1158" spans="1:6" ht="15" customHeight="1" x14ac:dyDescent="0.2">
      <c r="A1158" s="3" t="s">
        <v>2883</v>
      </c>
      <c r="B1158" s="3" t="s">
        <v>2884</v>
      </c>
      <c r="C1158" s="3" t="s">
        <v>2678</v>
      </c>
      <c r="D1158" s="2"/>
      <c r="E1158" s="2"/>
      <c r="F1158" s="3"/>
    </row>
    <row r="1159" spans="1:6" ht="15" customHeight="1" x14ac:dyDescent="0.2">
      <c r="A1159" s="9" t="s">
        <v>2885</v>
      </c>
      <c r="B1159" s="9" t="s">
        <v>2886</v>
      </c>
      <c r="C1159" s="9" t="s">
        <v>2678</v>
      </c>
      <c r="D1159" s="8"/>
      <c r="E1159" s="8"/>
      <c r="F1159" s="9"/>
    </row>
    <row r="1160" spans="1:6" ht="15" customHeight="1" x14ac:dyDescent="0.2">
      <c r="A1160" s="3" t="s">
        <v>2887</v>
      </c>
      <c r="B1160" s="3" t="s">
        <v>2888</v>
      </c>
      <c r="C1160" s="3" t="s">
        <v>2678</v>
      </c>
      <c r="D1160" s="2"/>
      <c r="E1160" s="2"/>
      <c r="F1160" s="3"/>
    </row>
    <row r="1161" spans="1:6" ht="15" customHeight="1" x14ac:dyDescent="0.2">
      <c r="A1161" s="9" t="s">
        <v>2889</v>
      </c>
      <c r="B1161" s="9" t="s">
        <v>2890</v>
      </c>
      <c r="C1161" s="9" t="s">
        <v>2678</v>
      </c>
      <c r="D1161" s="8"/>
      <c r="E1161" s="8"/>
      <c r="F1161" s="9"/>
    </row>
    <row r="1162" spans="1:6" ht="15" customHeight="1" x14ac:dyDescent="0.2">
      <c r="A1162" s="3" t="s">
        <v>2891</v>
      </c>
      <c r="B1162" s="3" t="s">
        <v>2892</v>
      </c>
      <c r="C1162" s="3" t="s">
        <v>2678</v>
      </c>
      <c r="D1162" s="2"/>
      <c r="E1162" s="2"/>
      <c r="F1162" s="3"/>
    </row>
    <row r="1163" spans="1:6" ht="15" customHeight="1" x14ac:dyDescent="0.2">
      <c r="A1163" s="9" t="s">
        <v>2893</v>
      </c>
      <c r="B1163" s="9" t="s">
        <v>2894</v>
      </c>
      <c r="C1163" s="9" t="s">
        <v>2678</v>
      </c>
      <c r="D1163" s="8"/>
      <c r="E1163" s="8"/>
      <c r="F1163" s="9"/>
    </row>
    <row r="1164" spans="1:6" ht="15" customHeight="1" x14ac:dyDescent="0.2">
      <c r="A1164" s="3" t="s">
        <v>2895</v>
      </c>
      <c r="B1164" s="3" t="s">
        <v>2896</v>
      </c>
      <c r="C1164" s="3" t="s">
        <v>2678</v>
      </c>
      <c r="D1164" s="2"/>
      <c r="E1164" s="2"/>
      <c r="F1164" s="3"/>
    </row>
    <row r="1165" spans="1:6" ht="15" customHeight="1" x14ac:dyDescent="0.2">
      <c r="A1165" s="9" t="s">
        <v>2897</v>
      </c>
      <c r="B1165" s="9" t="s">
        <v>2898</v>
      </c>
      <c r="C1165" s="9" t="s">
        <v>2678</v>
      </c>
      <c r="D1165" s="8"/>
      <c r="E1165" s="8"/>
      <c r="F1165" s="9"/>
    </row>
    <row r="1166" spans="1:6" ht="15" customHeight="1" x14ac:dyDescent="0.2">
      <c r="A1166" s="3" t="s">
        <v>2899</v>
      </c>
      <c r="B1166" s="3" t="s">
        <v>2900</v>
      </c>
      <c r="C1166" s="3" t="s">
        <v>2678</v>
      </c>
      <c r="D1166" s="2"/>
      <c r="E1166" s="2"/>
      <c r="F1166" s="3"/>
    </row>
    <row r="1167" spans="1:6" ht="15" customHeight="1" x14ac:dyDescent="0.2">
      <c r="A1167" s="9" t="s">
        <v>2901</v>
      </c>
      <c r="B1167" s="9" t="s">
        <v>2902</v>
      </c>
      <c r="C1167" s="9" t="s">
        <v>2678</v>
      </c>
      <c r="D1167" s="8"/>
      <c r="E1167" s="8"/>
      <c r="F1167" s="9"/>
    </row>
    <row r="1168" spans="1:6" ht="15" customHeight="1" x14ac:dyDescent="0.2">
      <c r="A1168" s="3" t="s">
        <v>2903</v>
      </c>
      <c r="B1168" s="3" t="s">
        <v>2904</v>
      </c>
      <c r="C1168" s="3" t="s">
        <v>2678</v>
      </c>
      <c r="D1168" s="2"/>
      <c r="E1168" s="2"/>
      <c r="F1168" s="3"/>
    </row>
    <row r="1169" spans="1:6" ht="15" customHeight="1" x14ac:dyDescent="0.2">
      <c r="A1169" s="9" t="s">
        <v>2905</v>
      </c>
      <c r="B1169" s="9" t="s">
        <v>2906</v>
      </c>
      <c r="C1169" s="9" t="s">
        <v>2678</v>
      </c>
      <c r="D1169" s="8"/>
      <c r="E1169" s="8"/>
      <c r="F1169" s="9"/>
    </row>
    <row r="1170" spans="1:6" ht="15" customHeight="1" x14ac:dyDescent="0.2">
      <c r="A1170" s="3" t="s">
        <v>2907</v>
      </c>
      <c r="B1170" s="3" t="s">
        <v>2908</v>
      </c>
      <c r="C1170" s="3" t="s">
        <v>2678</v>
      </c>
      <c r="D1170" s="2"/>
      <c r="E1170" s="2"/>
      <c r="F1170" s="3"/>
    </row>
    <row r="1171" spans="1:6" ht="15" customHeight="1" x14ac:dyDescent="0.2">
      <c r="A1171" s="9" t="s">
        <v>2909</v>
      </c>
      <c r="B1171" s="9" t="s">
        <v>2910</v>
      </c>
      <c r="C1171" s="9" t="s">
        <v>2678</v>
      </c>
      <c r="D1171" s="8"/>
      <c r="E1171" s="8"/>
      <c r="F1171" s="9"/>
    </row>
    <row r="1172" spans="1:6" ht="15" customHeight="1" x14ac:dyDescent="0.2">
      <c r="A1172" s="3" t="s">
        <v>2911</v>
      </c>
      <c r="B1172" s="3" t="s">
        <v>2912</v>
      </c>
      <c r="C1172" s="3" t="s">
        <v>2678</v>
      </c>
      <c r="D1172" s="2"/>
      <c r="E1172" s="2"/>
      <c r="F1172" s="3"/>
    </row>
    <row r="1173" spans="1:6" ht="15" customHeight="1" x14ac:dyDescent="0.2">
      <c r="A1173" s="9" t="s">
        <v>2913</v>
      </c>
      <c r="B1173" s="9" t="s">
        <v>2914</v>
      </c>
      <c r="C1173" s="9" t="s">
        <v>2678</v>
      </c>
      <c r="D1173" s="8"/>
      <c r="E1173" s="8"/>
      <c r="F1173" s="9"/>
    </row>
    <row r="1174" spans="1:6" ht="15" customHeight="1" x14ac:dyDescent="0.2">
      <c r="A1174" s="3" t="s">
        <v>2915</v>
      </c>
      <c r="B1174" s="3" t="s">
        <v>2916</v>
      </c>
      <c r="C1174" s="3" t="s">
        <v>2678</v>
      </c>
      <c r="D1174" s="2"/>
      <c r="E1174" s="2"/>
      <c r="F1174" s="3"/>
    </row>
    <row r="1175" spans="1:6" ht="15" customHeight="1" x14ac:dyDescent="0.2">
      <c r="A1175" s="9" t="s">
        <v>2917</v>
      </c>
      <c r="B1175" s="9" t="s">
        <v>2918</v>
      </c>
      <c r="C1175" s="9" t="s">
        <v>2678</v>
      </c>
      <c r="D1175" s="8"/>
      <c r="E1175" s="8"/>
      <c r="F1175" s="9"/>
    </row>
    <row r="1176" spans="1:6" ht="15" customHeight="1" x14ac:dyDescent="0.2">
      <c r="A1176" s="3" t="s">
        <v>2919</v>
      </c>
      <c r="B1176" s="3" t="s">
        <v>2920</v>
      </c>
      <c r="C1176" s="3" t="s">
        <v>2678</v>
      </c>
      <c r="D1176" s="2"/>
      <c r="E1176" s="2"/>
      <c r="F1176" s="3"/>
    </row>
    <row r="1177" spans="1:6" ht="15" customHeight="1" x14ac:dyDescent="0.2">
      <c r="A1177" s="9" t="s">
        <v>2921</v>
      </c>
      <c r="B1177" s="9" t="s">
        <v>2922</v>
      </c>
      <c r="C1177" s="9" t="s">
        <v>2678</v>
      </c>
      <c r="D1177" s="8"/>
      <c r="E1177" s="8"/>
      <c r="F1177" s="9"/>
    </row>
    <row r="1178" spans="1:6" ht="15" customHeight="1" x14ac:dyDescent="0.2">
      <c r="A1178" s="3" t="s">
        <v>2923</v>
      </c>
      <c r="B1178" s="3" t="s">
        <v>2924</v>
      </c>
      <c r="C1178" s="3" t="s">
        <v>2678</v>
      </c>
      <c r="D1178" s="2"/>
      <c r="E1178" s="2"/>
      <c r="F1178" s="3"/>
    </row>
    <row r="1179" spans="1:6" ht="15" customHeight="1" x14ac:dyDescent="0.2">
      <c r="A1179" s="9" t="s">
        <v>2925</v>
      </c>
      <c r="B1179" s="9" t="s">
        <v>2926</v>
      </c>
      <c r="C1179" s="9" t="s">
        <v>2678</v>
      </c>
      <c r="D1179" s="8"/>
      <c r="E1179" s="8"/>
      <c r="F1179" s="9"/>
    </row>
    <row r="1180" spans="1:6" ht="15" customHeight="1" x14ac:dyDescent="0.2">
      <c r="A1180" s="3" t="s">
        <v>2927</v>
      </c>
      <c r="B1180" s="3" t="s">
        <v>2928</v>
      </c>
      <c r="C1180" s="3" t="s">
        <v>2678</v>
      </c>
      <c r="D1180" s="2"/>
      <c r="E1180" s="2"/>
      <c r="F1180" s="3"/>
    </row>
    <row r="1181" spans="1:6" ht="15" customHeight="1" x14ac:dyDescent="0.2">
      <c r="A1181" s="9" t="s">
        <v>2929</v>
      </c>
      <c r="B1181" s="9" t="s">
        <v>2930</v>
      </c>
      <c r="C1181" s="9" t="s">
        <v>2678</v>
      </c>
      <c r="D1181" s="8"/>
      <c r="E1181" s="8"/>
      <c r="F1181" s="9"/>
    </row>
    <row r="1182" spans="1:6" ht="15" customHeight="1" x14ac:dyDescent="0.2">
      <c r="A1182" s="3" t="s">
        <v>2931</v>
      </c>
      <c r="B1182" s="3" t="s">
        <v>2932</v>
      </c>
      <c r="C1182" s="3" t="s">
        <v>2678</v>
      </c>
      <c r="D1182" s="2"/>
      <c r="E1182" s="2"/>
      <c r="F1182" s="3"/>
    </row>
    <row r="1183" spans="1:6" ht="15" customHeight="1" x14ac:dyDescent="0.2">
      <c r="A1183" s="9" t="s">
        <v>2933</v>
      </c>
      <c r="B1183" s="9" t="s">
        <v>2934</v>
      </c>
      <c r="C1183" s="9" t="s">
        <v>2678</v>
      </c>
      <c r="D1183" s="8"/>
      <c r="E1183" s="8"/>
      <c r="F1183" s="9"/>
    </row>
    <row r="1184" spans="1:6" ht="15" customHeight="1" x14ac:dyDescent="0.2">
      <c r="A1184" s="3" t="s">
        <v>2935</v>
      </c>
      <c r="B1184" s="3" t="s">
        <v>2936</v>
      </c>
      <c r="C1184" s="3" t="s">
        <v>2678</v>
      </c>
      <c r="D1184" s="2"/>
      <c r="E1184" s="2"/>
      <c r="F1184" s="3"/>
    </row>
    <row r="1185" spans="1:6" ht="15" customHeight="1" x14ac:dyDescent="0.2">
      <c r="A1185" s="9" t="s">
        <v>2937</v>
      </c>
      <c r="B1185" s="9" t="s">
        <v>2938</v>
      </c>
      <c r="C1185" s="9" t="s">
        <v>2678</v>
      </c>
      <c r="D1185" s="8"/>
      <c r="E1185" s="8"/>
      <c r="F1185" s="9"/>
    </row>
    <row r="1186" spans="1:6" ht="15" customHeight="1" x14ac:dyDescent="0.2">
      <c r="A1186" s="3" t="s">
        <v>2939</v>
      </c>
      <c r="B1186" s="3" t="s">
        <v>2940</v>
      </c>
      <c r="C1186" s="3" t="s">
        <v>2678</v>
      </c>
      <c r="D1186" s="2"/>
      <c r="E1186" s="2"/>
      <c r="F1186" s="3"/>
    </row>
    <row r="1187" spans="1:6" ht="15" customHeight="1" x14ac:dyDescent="0.2">
      <c r="A1187" s="9" t="s">
        <v>2941</v>
      </c>
      <c r="B1187" s="9" t="s">
        <v>2942</v>
      </c>
      <c r="C1187" s="9" t="s">
        <v>2678</v>
      </c>
      <c r="D1187" s="8"/>
      <c r="E1187" s="8"/>
      <c r="F1187" s="9"/>
    </row>
    <row r="1188" spans="1:6" ht="15" customHeight="1" x14ac:dyDescent="0.2">
      <c r="A1188" s="3" t="s">
        <v>2943</v>
      </c>
      <c r="B1188" s="3" t="s">
        <v>2944</v>
      </c>
      <c r="C1188" s="3" t="s">
        <v>2678</v>
      </c>
      <c r="D1188" s="2"/>
      <c r="E1188" s="2"/>
      <c r="F1188" s="3"/>
    </row>
    <row r="1189" spans="1:6" ht="15" customHeight="1" x14ac:dyDescent="0.2">
      <c r="A1189" s="9" t="s">
        <v>2945</v>
      </c>
      <c r="B1189" s="9" t="s">
        <v>2946</v>
      </c>
      <c r="C1189" s="9" t="s">
        <v>2678</v>
      </c>
      <c r="D1189" s="8"/>
      <c r="E1189" s="8"/>
      <c r="F1189" s="9"/>
    </row>
    <row r="1190" spans="1:6" ht="15" customHeight="1" x14ac:dyDescent="0.2">
      <c r="A1190" s="3" t="s">
        <v>2947</v>
      </c>
      <c r="B1190" s="3" t="s">
        <v>2948</v>
      </c>
      <c r="C1190" s="3" t="s">
        <v>2678</v>
      </c>
      <c r="D1190" s="2"/>
      <c r="E1190" s="2"/>
      <c r="F1190" s="3"/>
    </row>
    <row r="1191" spans="1:6" ht="15" customHeight="1" x14ac:dyDescent="0.2">
      <c r="A1191" s="9" t="s">
        <v>2949</v>
      </c>
      <c r="B1191" s="9" t="s">
        <v>2950</v>
      </c>
      <c r="C1191" s="9" t="s">
        <v>2678</v>
      </c>
      <c r="D1191" s="8"/>
      <c r="E1191" s="8"/>
      <c r="F1191" s="9"/>
    </row>
    <row r="1192" spans="1:6" ht="15" customHeight="1" x14ac:dyDescent="0.2">
      <c r="A1192" s="3" t="s">
        <v>2951</v>
      </c>
      <c r="B1192" s="3" t="s">
        <v>2952</v>
      </c>
      <c r="C1192" s="3" t="s">
        <v>2678</v>
      </c>
      <c r="D1192" s="2"/>
      <c r="E1192" s="2"/>
      <c r="F1192" s="3"/>
    </row>
    <row r="1193" spans="1:6" ht="15" customHeight="1" x14ac:dyDescent="0.2">
      <c r="A1193" s="9" t="s">
        <v>2953</v>
      </c>
      <c r="B1193" s="9" t="s">
        <v>2954</v>
      </c>
      <c r="C1193" s="9" t="s">
        <v>2678</v>
      </c>
      <c r="D1193" s="8"/>
      <c r="E1193" s="8"/>
      <c r="F1193" s="9"/>
    </row>
    <row r="1194" spans="1:6" ht="15" customHeight="1" x14ac:dyDescent="0.2">
      <c r="A1194" s="3" t="s">
        <v>2955</v>
      </c>
      <c r="B1194" s="3" t="s">
        <v>2956</v>
      </c>
      <c r="C1194" s="3" t="s">
        <v>2678</v>
      </c>
      <c r="D1194" s="2"/>
      <c r="E1194" s="2"/>
      <c r="F1194" s="3"/>
    </row>
    <row r="1195" spans="1:6" ht="15" customHeight="1" x14ac:dyDescent="0.2">
      <c r="A1195" s="9" t="s">
        <v>2957</v>
      </c>
      <c r="B1195" s="9" t="s">
        <v>2958</v>
      </c>
      <c r="C1195" s="9" t="s">
        <v>2678</v>
      </c>
      <c r="D1195" s="8"/>
      <c r="E1195" s="8"/>
      <c r="F1195" s="9"/>
    </row>
    <row r="1196" spans="1:6" ht="15" customHeight="1" x14ac:dyDescent="0.2">
      <c r="A1196" s="3" t="s">
        <v>2959</v>
      </c>
      <c r="B1196" s="3" t="s">
        <v>2960</v>
      </c>
      <c r="C1196" s="3" t="s">
        <v>2678</v>
      </c>
      <c r="D1196" s="2"/>
      <c r="E1196" s="2"/>
      <c r="F1196" s="3"/>
    </row>
    <row r="1197" spans="1:6" ht="15" customHeight="1" x14ac:dyDescent="0.2">
      <c r="A1197" s="9" t="s">
        <v>2961</v>
      </c>
      <c r="B1197" s="9" t="s">
        <v>2962</v>
      </c>
      <c r="C1197" s="9" t="s">
        <v>2678</v>
      </c>
      <c r="D1197" s="8" t="s">
        <v>57</v>
      </c>
      <c r="E1197" s="8" t="s">
        <v>874</v>
      </c>
      <c r="F1197" s="9" t="s">
        <v>2963</v>
      </c>
    </row>
    <row r="1198" spans="1:6" ht="15" customHeight="1" x14ac:dyDescent="0.2">
      <c r="A1198" s="3" t="s">
        <v>2964</v>
      </c>
      <c r="B1198" s="3" t="s">
        <v>2965</v>
      </c>
      <c r="C1198" s="3" t="s">
        <v>2678</v>
      </c>
      <c r="D1198" s="2"/>
      <c r="E1198" s="2"/>
      <c r="F1198" s="3"/>
    </row>
    <row r="1199" spans="1:6" ht="15" customHeight="1" x14ac:dyDescent="0.2">
      <c r="A1199" s="9" t="s">
        <v>2966</v>
      </c>
      <c r="B1199" s="9" t="s">
        <v>2967</v>
      </c>
      <c r="C1199" s="9" t="s">
        <v>2678</v>
      </c>
      <c r="D1199" s="8"/>
      <c r="E1199" s="8"/>
      <c r="F1199" s="9"/>
    </row>
    <row r="1200" spans="1:6" ht="15" customHeight="1" x14ac:dyDescent="0.2">
      <c r="A1200" s="3" t="s">
        <v>2968</v>
      </c>
      <c r="B1200" s="3" t="s">
        <v>2969</v>
      </c>
      <c r="C1200" s="3" t="s">
        <v>2678</v>
      </c>
      <c r="D1200" s="2"/>
      <c r="E1200" s="2"/>
      <c r="F1200" s="3"/>
    </row>
    <row r="1201" spans="1:6" ht="15" customHeight="1" x14ac:dyDescent="0.2">
      <c r="A1201" s="9" t="s">
        <v>2970</v>
      </c>
      <c r="B1201" s="9" t="s">
        <v>2971</v>
      </c>
      <c r="C1201" s="9" t="s">
        <v>2678</v>
      </c>
      <c r="D1201" s="8"/>
      <c r="E1201" s="8"/>
      <c r="F1201" s="9"/>
    </row>
    <row r="1202" spans="1:6" ht="15" customHeight="1" x14ac:dyDescent="0.2">
      <c r="A1202" s="3" t="s">
        <v>2972</v>
      </c>
      <c r="B1202" s="3" t="s">
        <v>2973</v>
      </c>
      <c r="C1202" s="3" t="s">
        <v>2678</v>
      </c>
      <c r="D1202" s="2"/>
      <c r="E1202" s="2"/>
      <c r="F1202" s="3"/>
    </row>
    <row r="1203" spans="1:6" ht="15" customHeight="1" x14ac:dyDescent="0.2">
      <c r="A1203" s="9" t="s">
        <v>2974</v>
      </c>
      <c r="B1203" s="9" t="s">
        <v>2975</v>
      </c>
      <c r="C1203" s="9" t="s">
        <v>2678</v>
      </c>
      <c r="D1203" s="8"/>
      <c r="E1203" s="8"/>
      <c r="F1203" s="9"/>
    </row>
    <row r="1204" spans="1:6" ht="15" customHeight="1" x14ac:dyDescent="0.2">
      <c r="A1204" s="3" t="s">
        <v>2976</v>
      </c>
      <c r="B1204" s="3" t="s">
        <v>2977</v>
      </c>
      <c r="C1204" s="3" t="s">
        <v>2678</v>
      </c>
      <c r="D1204" s="2"/>
      <c r="E1204" s="2"/>
      <c r="F1204" s="3"/>
    </row>
    <row r="1205" spans="1:6" ht="15" customHeight="1" x14ac:dyDescent="0.2">
      <c r="A1205" s="9" t="s">
        <v>2978</v>
      </c>
      <c r="B1205" s="9" t="s">
        <v>2979</v>
      </c>
      <c r="C1205" s="9" t="s">
        <v>2678</v>
      </c>
      <c r="D1205" s="8"/>
      <c r="E1205" s="8"/>
      <c r="F1205" s="9"/>
    </row>
    <row r="1206" spans="1:6" ht="15" customHeight="1" x14ac:dyDescent="0.2">
      <c r="A1206" s="3" t="s">
        <v>2980</v>
      </c>
      <c r="B1206" s="3" t="s">
        <v>2981</v>
      </c>
      <c r="C1206" s="3" t="s">
        <v>2678</v>
      </c>
      <c r="D1206" s="2"/>
      <c r="E1206" s="2"/>
      <c r="F1206" s="3"/>
    </row>
    <row r="1207" spans="1:6" ht="15" customHeight="1" x14ac:dyDescent="0.2">
      <c r="A1207" s="9" t="s">
        <v>2982</v>
      </c>
      <c r="B1207" s="9" t="s">
        <v>2983</v>
      </c>
      <c r="C1207" s="9" t="s">
        <v>2678</v>
      </c>
      <c r="D1207" s="8"/>
      <c r="E1207" s="8"/>
      <c r="F1207" s="9"/>
    </row>
    <row r="1208" spans="1:6" ht="15" customHeight="1" x14ac:dyDescent="0.2">
      <c r="A1208" s="3" t="s">
        <v>2984</v>
      </c>
      <c r="B1208" s="3" t="s">
        <v>2985</v>
      </c>
      <c r="C1208" s="3" t="s">
        <v>2678</v>
      </c>
      <c r="D1208" s="2"/>
      <c r="E1208" s="2"/>
      <c r="F1208" s="3"/>
    </row>
    <row r="1209" spans="1:6" ht="15" customHeight="1" x14ac:dyDescent="0.2">
      <c r="A1209" s="9" t="s">
        <v>2986</v>
      </c>
      <c r="B1209" s="9" t="s">
        <v>2987</v>
      </c>
      <c r="C1209" s="9" t="s">
        <v>2678</v>
      </c>
      <c r="D1209" s="8"/>
      <c r="E1209" s="8"/>
      <c r="F1209" s="9"/>
    </row>
    <row r="1210" spans="1:6" ht="15" customHeight="1" x14ac:dyDescent="0.2">
      <c r="A1210" s="3" t="s">
        <v>2988</v>
      </c>
      <c r="B1210" s="3" t="s">
        <v>2989</v>
      </c>
      <c r="C1210" s="3" t="s">
        <v>2678</v>
      </c>
      <c r="D1210" s="2"/>
      <c r="E1210" s="2"/>
      <c r="F1210" s="3"/>
    </row>
    <row r="1211" spans="1:6" ht="15" customHeight="1" x14ac:dyDescent="0.2">
      <c r="A1211" s="9" t="s">
        <v>2990</v>
      </c>
      <c r="B1211" s="9" t="s">
        <v>2991</v>
      </c>
      <c r="C1211" s="9" t="s">
        <v>2678</v>
      </c>
      <c r="D1211" s="8"/>
      <c r="E1211" s="8"/>
      <c r="F1211" s="9"/>
    </row>
    <row r="1212" spans="1:6" ht="15" customHeight="1" x14ac:dyDescent="0.2">
      <c r="A1212" s="3" t="s">
        <v>2992</v>
      </c>
      <c r="B1212" s="3" t="s">
        <v>2993</v>
      </c>
      <c r="C1212" s="3" t="s">
        <v>2678</v>
      </c>
      <c r="D1212" s="2"/>
      <c r="E1212" s="2"/>
      <c r="F1212" s="3"/>
    </row>
    <row r="1213" spans="1:6" ht="15" customHeight="1" x14ac:dyDescent="0.2">
      <c r="A1213" s="9" t="s">
        <v>2994</v>
      </c>
      <c r="B1213" s="9" t="s">
        <v>2995</v>
      </c>
      <c r="C1213" s="9" t="s">
        <v>2678</v>
      </c>
      <c r="D1213" s="8"/>
      <c r="E1213" s="8"/>
      <c r="F1213" s="9"/>
    </row>
    <row r="1214" spans="1:6" ht="15" customHeight="1" x14ac:dyDescent="0.2">
      <c r="A1214" s="3" t="s">
        <v>2996</v>
      </c>
      <c r="B1214" s="3" t="s">
        <v>2997</v>
      </c>
      <c r="C1214" s="3" t="s">
        <v>2678</v>
      </c>
      <c r="D1214" s="2"/>
      <c r="E1214" s="2"/>
      <c r="F1214" s="3"/>
    </row>
    <row r="1215" spans="1:6" ht="15" customHeight="1" x14ac:dyDescent="0.2">
      <c r="A1215" s="9" t="s">
        <v>2998</v>
      </c>
      <c r="B1215" s="9" t="s">
        <v>2999</v>
      </c>
      <c r="C1215" s="9" t="s">
        <v>2678</v>
      </c>
      <c r="D1215" s="8"/>
      <c r="E1215" s="8"/>
      <c r="F1215" s="9"/>
    </row>
    <row r="1216" spans="1:6" ht="15" customHeight="1" x14ac:dyDescent="0.2">
      <c r="A1216" s="3" t="s">
        <v>3000</v>
      </c>
      <c r="B1216" s="3" t="s">
        <v>3001</v>
      </c>
      <c r="C1216" s="3" t="s">
        <v>2678</v>
      </c>
      <c r="D1216" s="2"/>
      <c r="E1216" s="2"/>
      <c r="F1216" s="3"/>
    </row>
    <row r="1217" spans="1:6" ht="15" customHeight="1" x14ac:dyDescent="0.2">
      <c r="A1217" s="9" t="s">
        <v>3002</v>
      </c>
      <c r="B1217" s="9" t="s">
        <v>3003</v>
      </c>
      <c r="C1217" s="9" t="s">
        <v>2678</v>
      </c>
      <c r="D1217" s="8"/>
      <c r="E1217" s="8"/>
      <c r="F1217" s="9"/>
    </row>
    <row r="1218" spans="1:6" ht="15" customHeight="1" x14ac:dyDescent="0.2">
      <c r="A1218" s="3" t="s">
        <v>3004</v>
      </c>
      <c r="B1218" s="3" t="s">
        <v>3005</v>
      </c>
      <c r="C1218" s="3" t="s">
        <v>2678</v>
      </c>
      <c r="D1218" s="2"/>
      <c r="E1218" s="2"/>
      <c r="F1218" s="3"/>
    </row>
    <row r="1219" spans="1:6" ht="15" customHeight="1" x14ac:dyDescent="0.2">
      <c r="A1219" s="9" t="s">
        <v>3006</v>
      </c>
      <c r="B1219" s="9" t="s">
        <v>3007</v>
      </c>
      <c r="C1219" s="9" t="s">
        <v>2678</v>
      </c>
      <c r="D1219" s="8"/>
      <c r="E1219" s="8"/>
      <c r="F1219" s="9"/>
    </row>
    <row r="1220" spans="1:6" ht="15" customHeight="1" x14ac:dyDescent="0.2">
      <c r="A1220" s="3" t="s">
        <v>3008</v>
      </c>
      <c r="B1220" s="3" t="s">
        <v>3009</v>
      </c>
      <c r="C1220" s="3" t="s">
        <v>2678</v>
      </c>
      <c r="D1220" s="2"/>
      <c r="E1220" s="2"/>
      <c r="F1220" s="3"/>
    </row>
    <row r="1221" spans="1:6" ht="15" customHeight="1" x14ac:dyDescent="0.2">
      <c r="A1221" s="9" t="s">
        <v>3010</v>
      </c>
      <c r="B1221" s="9" t="s">
        <v>3011</v>
      </c>
      <c r="C1221" s="9" t="s">
        <v>2678</v>
      </c>
      <c r="D1221" s="8"/>
      <c r="E1221" s="8"/>
      <c r="F1221" s="9"/>
    </row>
    <row r="1222" spans="1:6" ht="15" customHeight="1" x14ac:dyDescent="0.2">
      <c r="A1222" s="3" t="s">
        <v>3012</v>
      </c>
      <c r="B1222" s="3" t="s">
        <v>3013</v>
      </c>
      <c r="C1222" s="3" t="s">
        <v>2678</v>
      </c>
      <c r="D1222" s="2"/>
      <c r="E1222" s="2"/>
      <c r="F1222" s="3"/>
    </row>
    <row r="1223" spans="1:6" ht="15" customHeight="1" x14ac:dyDescent="0.2">
      <c r="A1223" s="9" t="s">
        <v>3014</v>
      </c>
      <c r="B1223" s="9" t="s">
        <v>3015</v>
      </c>
      <c r="C1223" s="9" t="s">
        <v>2678</v>
      </c>
      <c r="D1223" s="8"/>
      <c r="E1223" s="8"/>
      <c r="F1223" s="9"/>
    </row>
    <row r="1224" spans="1:6" ht="15" customHeight="1" x14ac:dyDescent="0.2">
      <c r="A1224" s="3" t="s">
        <v>3016</v>
      </c>
      <c r="B1224" s="3" t="s">
        <v>3017</v>
      </c>
      <c r="C1224" s="3" t="s">
        <v>2678</v>
      </c>
      <c r="D1224" s="2"/>
      <c r="E1224" s="2"/>
      <c r="F1224" s="3"/>
    </row>
    <row r="1225" spans="1:6" ht="15" customHeight="1" x14ac:dyDescent="0.2">
      <c r="A1225" s="9" t="s">
        <v>3018</v>
      </c>
      <c r="B1225" s="9" t="s">
        <v>3019</v>
      </c>
      <c r="C1225" s="9" t="s">
        <v>2678</v>
      </c>
      <c r="D1225" s="8"/>
      <c r="E1225" s="8"/>
      <c r="F1225" s="9"/>
    </row>
    <row r="1226" spans="1:6" ht="15" customHeight="1" x14ac:dyDescent="0.2">
      <c r="A1226" s="3" t="s">
        <v>3020</v>
      </c>
      <c r="B1226" s="3" t="s">
        <v>3021</v>
      </c>
      <c r="C1226" s="3" t="s">
        <v>2678</v>
      </c>
      <c r="D1226" s="2"/>
      <c r="E1226" s="2"/>
      <c r="F1226" s="3"/>
    </row>
    <row r="1227" spans="1:6" ht="15" customHeight="1" x14ac:dyDescent="0.2">
      <c r="A1227" s="9" t="s">
        <v>3022</v>
      </c>
      <c r="B1227" s="9" t="s">
        <v>3023</v>
      </c>
      <c r="C1227" s="9" t="s">
        <v>2678</v>
      </c>
      <c r="D1227" s="8"/>
      <c r="E1227" s="8"/>
      <c r="F1227" s="9"/>
    </row>
    <row r="1228" spans="1:6" ht="15" customHeight="1" x14ac:dyDescent="0.2">
      <c r="A1228" s="3" t="s">
        <v>3024</v>
      </c>
      <c r="B1228" s="3" t="s">
        <v>3025</v>
      </c>
      <c r="C1228" s="3" t="s">
        <v>2678</v>
      </c>
      <c r="D1228" s="2"/>
      <c r="E1228" s="2"/>
      <c r="F1228" s="3"/>
    </row>
    <row r="1229" spans="1:6" ht="15" customHeight="1" x14ac:dyDescent="0.2">
      <c r="A1229" s="9" t="s">
        <v>3026</v>
      </c>
      <c r="B1229" s="9" t="s">
        <v>3027</v>
      </c>
      <c r="C1229" s="9" t="s">
        <v>2678</v>
      </c>
      <c r="D1229" s="8"/>
      <c r="E1229" s="8"/>
      <c r="F1229" s="9"/>
    </row>
    <row r="1230" spans="1:6" ht="15" customHeight="1" x14ac:dyDescent="0.2">
      <c r="A1230" s="3" t="s">
        <v>3028</v>
      </c>
      <c r="B1230" s="3" t="s">
        <v>3029</v>
      </c>
      <c r="C1230" s="3" t="s">
        <v>2678</v>
      </c>
      <c r="D1230" s="2"/>
      <c r="E1230" s="2"/>
      <c r="F1230" s="3"/>
    </row>
    <row r="1231" spans="1:6" ht="15" customHeight="1" x14ac:dyDescent="0.2">
      <c r="A1231" s="9" t="s">
        <v>3030</v>
      </c>
      <c r="B1231" s="9" t="s">
        <v>3031</v>
      </c>
      <c r="C1231" s="9" t="s">
        <v>2678</v>
      </c>
      <c r="D1231" s="8"/>
      <c r="E1231" s="8"/>
      <c r="F1231" s="9"/>
    </row>
    <row r="1232" spans="1:6" ht="15" customHeight="1" x14ac:dyDescent="0.2">
      <c r="A1232" s="3" t="s">
        <v>3032</v>
      </c>
      <c r="B1232" s="3" t="s">
        <v>3033</v>
      </c>
      <c r="C1232" s="3" t="s">
        <v>2678</v>
      </c>
      <c r="D1232" s="2"/>
      <c r="E1232" s="2"/>
      <c r="F1232" s="3"/>
    </row>
    <row r="1233" spans="1:6" ht="15" customHeight="1" x14ac:dyDescent="0.2">
      <c r="A1233" s="9" t="s">
        <v>3034</v>
      </c>
      <c r="B1233" s="9" t="s">
        <v>3035</v>
      </c>
      <c r="C1233" s="9" t="s">
        <v>2678</v>
      </c>
      <c r="D1233" s="8"/>
      <c r="E1233" s="8"/>
      <c r="F1233" s="9"/>
    </row>
    <row r="1234" spans="1:6" ht="15" customHeight="1" x14ac:dyDescent="0.2">
      <c r="A1234" s="3" t="s">
        <v>3036</v>
      </c>
      <c r="B1234" s="3" t="s">
        <v>3037</v>
      </c>
      <c r="C1234" s="3" t="s">
        <v>2678</v>
      </c>
      <c r="D1234" s="2"/>
      <c r="E1234" s="2"/>
      <c r="F1234" s="3"/>
    </row>
    <row r="1235" spans="1:6" ht="15" customHeight="1" x14ac:dyDescent="0.2">
      <c r="A1235" s="9" t="s">
        <v>3038</v>
      </c>
      <c r="B1235" s="9" t="s">
        <v>3039</v>
      </c>
      <c r="C1235" s="9" t="s">
        <v>2678</v>
      </c>
      <c r="D1235" s="8"/>
      <c r="E1235" s="8"/>
      <c r="F1235" s="9"/>
    </row>
    <row r="1236" spans="1:6" ht="15" customHeight="1" x14ac:dyDescent="0.2">
      <c r="A1236" s="3" t="s">
        <v>3040</v>
      </c>
      <c r="B1236" s="3" t="s">
        <v>3041</v>
      </c>
      <c r="C1236" s="3" t="s">
        <v>2678</v>
      </c>
      <c r="D1236" s="2"/>
      <c r="E1236" s="2"/>
      <c r="F1236" s="3"/>
    </row>
    <row r="1237" spans="1:6" ht="15" customHeight="1" x14ac:dyDescent="0.2">
      <c r="A1237" s="9" t="s">
        <v>3042</v>
      </c>
      <c r="B1237" s="9" t="s">
        <v>3043</v>
      </c>
      <c r="C1237" s="9" t="s">
        <v>2678</v>
      </c>
      <c r="D1237" s="8"/>
      <c r="E1237" s="8"/>
      <c r="F1237" s="9"/>
    </row>
    <row r="1238" spans="1:6" ht="15" customHeight="1" x14ac:dyDescent="0.2">
      <c r="A1238" s="3" t="s">
        <v>3044</v>
      </c>
      <c r="B1238" s="3" t="s">
        <v>3045</v>
      </c>
      <c r="C1238" s="3" t="s">
        <v>2678</v>
      </c>
      <c r="D1238" s="2"/>
      <c r="E1238" s="2"/>
      <c r="F1238" s="3"/>
    </row>
    <row r="1239" spans="1:6" ht="15" customHeight="1" x14ac:dyDescent="0.2">
      <c r="A1239" s="9" t="s">
        <v>3046</v>
      </c>
      <c r="B1239" s="9" t="s">
        <v>3047</v>
      </c>
      <c r="C1239" s="9" t="s">
        <v>2678</v>
      </c>
      <c r="D1239" s="8"/>
      <c r="E1239" s="8"/>
      <c r="F1239" s="9"/>
    </row>
    <row r="1240" spans="1:6" ht="15" customHeight="1" x14ac:dyDescent="0.2">
      <c r="A1240" s="3" t="s">
        <v>3048</v>
      </c>
      <c r="B1240" s="3" t="s">
        <v>3049</v>
      </c>
      <c r="C1240" s="3" t="s">
        <v>2678</v>
      </c>
      <c r="D1240" s="2"/>
      <c r="E1240" s="2"/>
      <c r="F1240" s="3"/>
    </row>
    <row r="1241" spans="1:6" ht="15" customHeight="1" x14ac:dyDescent="0.2">
      <c r="A1241" s="9" t="s">
        <v>3050</v>
      </c>
      <c r="B1241" s="9" t="s">
        <v>3051</v>
      </c>
      <c r="C1241" s="9" t="s">
        <v>2678</v>
      </c>
      <c r="D1241" s="8"/>
      <c r="E1241" s="8"/>
      <c r="F1241" s="9"/>
    </row>
    <row r="1242" spans="1:6" ht="15" customHeight="1" x14ac:dyDescent="0.2">
      <c r="A1242" s="3" t="s">
        <v>3052</v>
      </c>
      <c r="B1242" s="3" t="s">
        <v>3053</v>
      </c>
      <c r="C1242" s="3" t="s">
        <v>2678</v>
      </c>
      <c r="D1242" s="2"/>
      <c r="E1242" s="2"/>
      <c r="F1242" s="3"/>
    </row>
    <row r="1243" spans="1:6" ht="15" customHeight="1" x14ac:dyDescent="0.2">
      <c r="A1243" s="9" t="s">
        <v>3054</v>
      </c>
      <c r="B1243" s="9" t="s">
        <v>3055</v>
      </c>
      <c r="C1243" s="9" t="s">
        <v>2678</v>
      </c>
      <c r="D1243" s="8"/>
      <c r="E1243" s="8"/>
      <c r="F1243" s="9"/>
    </row>
    <row r="1244" spans="1:6" ht="15" customHeight="1" x14ac:dyDescent="0.2">
      <c r="A1244" s="3" t="s">
        <v>3056</v>
      </c>
      <c r="B1244" s="3" t="s">
        <v>3057</v>
      </c>
      <c r="C1244" s="3" t="s">
        <v>2678</v>
      </c>
      <c r="D1244" s="2"/>
      <c r="E1244" s="2"/>
      <c r="F1244" s="3"/>
    </row>
    <row r="1245" spans="1:6" ht="15" customHeight="1" x14ac:dyDescent="0.2">
      <c r="A1245" s="9" t="s">
        <v>3058</v>
      </c>
      <c r="B1245" s="9" t="s">
        <v>3059</v>
      </c>
      <c r="C1245" s="9" t="s">
        <v>2678</v>
      </c>
      <c r="D1245" s="8"/>
      <c r="E1245" s="8"/>
      <c r="F1245" s="9"/>
    </row>
    <row r="1246" spans="1:6" ht="15" customHeight="1" x14ac:dyDescent="0.2">
      <c r="A1246" s="3" t="s">
        <v>3060</v>
      </c>
      <c r="B1246" s="3" t="s">
        <v>3061</v>
      </c>
      <c r="C1246" s="3" t="s">
        <v>2678</v>
      </c>
      <c r="D1246" s="2"/>
      <c r="E1246" s="2"/>
      <c r="F1246" s="3"/>
    </row>
    <row r="1247" spans="1:6" ht="15" customHeight="1" x14ac:dyDescent="0.2">
      <c r="A1247" s="9" t="s">
        <v>3062</v>
      </c>
      <c r="B1247" s="9" t="s">
        <v>3063</v>
      </c>
      <c r="C1247" s="9" t="s">
        <v>2678</v>
      </c>
      <c r="D1247" s="8"/>
      <c r="E1247" s="8"/>
      <c r="F1247" s="9"/>
    </row>
    <row r="1248" spans="1:6" ht="15" customHeight="1" x14ac:dyDescent="0.2">
      <c r="A1248" s="3" t="s">
        <v>3064</v>
      </c>
      <c r="B1248" s="3" t="s">
        <v>3065</v>
      </c>
      <c r="C1248" s="3" t="s">
        <v>2678</v>
      </c>
      <c r="D1248" s="2"/>
      <c r="E1248" s="2"/>
      <c r="F1248" s="3"/>
    </row>
    <row r="1249" spans="1:6" ht="15" customHeight="1" x14ac:dyDescent="0.2">
      <c r="A1249" s="9" t="s">
        <v>3066</v>
      </c>
      <c r="B1249" s="9" t="s">
        <v>3067</v>
      </c>
      <c r="C1249" s="9" t="s">
        <v>2678</v>
      </c>
      <c r="D1249" s="8"/>
      <c r="E1249" s="8"/>
      <c r="F1249" s="9"/>
    </row>
    <row r="1250" spans="1:6" ht="15" customHeight="1" x14ac:dyDescent="0.2">
      <c r="A1250" s="3" t="s">
        <v>3068</v>
      </c>
      <c r="B1250" s="3" t="s">
        <v>3069</v>
      </c>
      <c r="C1250" s="3" t="s">
        <v>2678</v>
      </c>
      <c r="D1250" s="2"/>
      <c r="E1250" s="2"/>
      <c r="F1250" s="3"/>
    </row>
    <row r="1251" spans="1:6" ht="15" customHeight="1" x14ac:dyDescent="0.2">
      <c r="A1251" s="9" t="s">
        <v>3070</v>
      </c>
      <c r="B1251" s="9" t="s">
        <v>3071</v>
      </c>
      <c r="C1251" s="9" t="s">
        <v>2678</v>
      </c>
      <c r="D1251" s="8"/>
      <c r="E1251" s="8"/>
      <c r="F1251" s="9"/>
    </row>
    <row r="1252" spans="1:6" ht="15" customHeight="1" x14ac:dyDescent="0.2">
      <c r="A1252" s="3" t="s">
        <v>3072</v>
      </c>
      <c r="B1252" s="3" t="s">
        <v>3073</v>
      </c>
      <c r="C1252" s="3" t="s">
        <v>2678</v>
      </c>
      <c r="D1252" s="2"/>
      <c r="E1252" s="2"/>
      <c r="F1252" s="3"/>
    </row>
    <row r="1253" spans="1:6" ht="15" customHeight="1" x14ac:dyDescent="0.2">
      <c r="A1253" s="9" t="s">
        <v>3074</v>
      </c>
      <c r="B1253" s="9" t="s">
        <v>3075</v>
      </c>
      <c r="C1253" s="9" t="s">
        <v>2678</v>
      </c>
      <c r="D1253" s="8"/>
      <c r="E1253" s="8"/>
      <c r="F1253" s="9"/>
    </row>
    <row r="1254" spans="1:6" ht="15" customHeight="1" x14ac:dyDescent="0.2">
      <c r="A1254" s="3" t="s">
        <v>3076</v>
      </c>
      <c r="B1254" s="3" t="s">
        <v>3077</v>
      </c>
      <c r="C1254" s="3" t="s">
        <v>2678</v>
      </c>
      <c r="D1254" s="2"/>
      <c r="E1254" s="2"/>
      <c r="F1254" s="3"/>
    </row>
    <row r="1255" spans="1:6" ht="15" customHeight="1" x14ac:dyDescent="0.2">
      <c r="A1255" s="9" t="s">
        <v>3078</v>
      </c>
      <c r="B1255" s="9" t="s">
        <v>3079</v>
      </c>
      <c r="C1255" s="9" t="s">
        <v>2678</v>
      </c>
      <c r="D1255" s="8"/>
      <c r="E1255" s="8"/>
      <c r="F1255" s="9"/>
    </row>
    <row r="1256" spans="1:6" ht="15" customHeight="1" x14ac:dyDescent="0.2">
      <c r="A1256" s="3" t="s">
        <v>3080</v>
      </c>
      <c r="B1256" s="3" t="s">
        <v>3081</v>
      </c>
      <c r="C1256" s="3" t="s">
        <v>2678</v>
      </c>
      <c r="D1256" s="2"/>
      <c r="E1256" s="2"/>
      <c r="F1256" s="3"/>
    </row>
    <row r="1257" spans="1:6" ht="15" customHeight="1" x14ac:dyDescent="0.2">
      <c r="A1257" s="9" t="s">
        <v>3082</v>
      </c>
      <c r="B1257" s="9" t="s">
        <v>3083</v>
      </c>
      <c r="C1257" s="9" t="s">
        <v>2678</v>
      </c>
      <c r="D1257" s="8"/>
      <c r="E1257" s="8"/>
      <c r="F1257" s="9"/>
    </row>
    <row r="1258" spans="1:6" ht="15" customHeight="1" x14ac:dyDescent="0.2">
      <c r="A1258" s="3" t="s">
        <v>3084</v>
      </c>
      <c r="B1258" s="3" t="s">
        <v>3085</v>
      </c>
      <c r="C1258" s="3" t="s">
        <v>2678</v>
      </c>
      <c r="D1258" s="2"/>
      <c r="E1258" s="2"/>
      <c r="F1258" s="3"/>
    </row>
    <row r="1259" spans="1:6" ht="15" customHeight="1" x14ac:dyDescent="0.2">
      <c r="A1259" s="9" t="s">
        <v>3086</v>
      </c>
      <c r="B1259" s="9" t="s">
        <v>3087</v>
      </c>
      <c r="C1259" s="9" t="s">
        <v>2678</v>
      </c>
      <c r="D1259" s="8"/>
      <c r="E1259" s="8"/>
      <c r="F1259" s="9"/>
    </row>
    <row r="1260" spans="1:6" ht="15" customHeight="1" x14ac:dyDescent="0.2">
      <c r="A1260" s="3" t="s">
        <v>3088</v>
      </c>
      <c r="B1260" s="3" t="s">
        <v>3089</v>
      </c>
      <c r="C1260" s="3" t="s">
        <v>2678</v>
      </c>
      <c r="D1260" s="2"/>
      <c r="E1260" s="2"/>
      <c r="F1260" s="3"/>
    </row>
    <row r="1261" spans="1:6" ht="15" customHeight="1" x14ac:dyDescent="0.2">
      <c r="A1261" s="9" t="s">
        <v>3090</v>
      </c>
      <c r="B1261" s="9" t="s">
        <v>3091</v>
      </c>
      <c r="C1261" s="9" t="s">
        <v>2678</v>
      </c>
      <c r="D1261" s="8"/>
      <c r="E1261" s="8"/>
      <c r="F1261" s="9"/>
    </row>
    <row r="1262" spans="1:6" ht="15" customHeight="1" x14ac:dyDescent="0.2">
      <c r="A1262" s="3" t="s">
        <v>3092</v>
      </c>
      <c r="B1262" s="3" t="s">
        <v>3093</v>
      </c>
      <c r="C1262" s="3" t="s">
        <v>2678</v>
      </c>
      <c r="D1262" s="2"/>
      <c r="E1262" s="2"/>
      <c r="F1262" s="3"/>
    </row>
    <row r="1263" spans="1:6" ht="15" customHeight="1" x14ac:dyDescent="0.2">
      <c r="A1263" s="9" t="s">
        <v>3094</v>
      </c>
      <c r="B1263" s="9" t="s">
        <v>3095</v>
      </c>
      <c r="C1263" s="9" t="s">
        <v>2678</v>
      </c>
      <c r="D1263" s="8"/>
      <c r="E1263" s="8"/>
      <c r="F1263" s="9"/>
    </row>
    <row r="1264" spans="1:6" ht="15" customHeight="1" x14ac:dyDescent="0.2">
      <c r="A1264" s="3" t="s">
        <v>3096</v>
      </c>
      <c r="B1264" s="3" t="s">
        <v>3097</v>
      </c>
      <c r="C1264" s="3" t="s">
        <v>2678</v>
      </c>
      <c r="D1264" s="2"/>
      <c r="E1264" s="2"/>
      <c r="F1264" s="3"/>
    </row>
    <row r="1265" spans="1:6" ht="15" customHeight="1" x14ac:dyDescent="0.2">
      <c r="A1265" s="9" t="s">
        <v>3098</v>
      </c>
      <c r="B1265" s="9" t="s">
        <v>3099</v>
      </c>
      <c r="C1265" s="9" t="s">
        <v>2678</v>
      </c>
      <c r="D1265" s="8"/>
      <c r="E1265" s="8"/>
      <c r="F1265" s="9"/>
    </row>
    <row r="1266" spans="1:6" ht="15" customHeight="1" x14ac:dyDescent="0.2">
      <c r="A1266" s="3" t="s">
        <v>3100</v>
      </c>
      <c r="B1266" s="3" t="s">
        <v>3101</v>
      </c>
      <c r="C1266" s="3" t="s">
        <v>2678</v>
      </c>
      <c r="D1266" s="2"/>
      <c r="E1266" s="2"/>
      <c r="F1266" s="3"/>
    </row>
    <row r="1267" spans="1:6" ht="15" customHeight="1" x14ac:dyDescent="0.2">
      <c r="A1267" s="9" t="s">
        <v>3102</v>
      </c>
      <c r="B1267" s="9" t="s">
        <v>3103</v>
      </c>
      <c r="C1267" s="9" t="s">
        <v>2678</v>
      </c>
      <c r="D1267" s="8"/>
      <c r="E1267" s="8"/>
      <c r="F1267" s="9"/>
    </row>
    <row r="1268" spans="1:6" ht="15" customHeight="1" x14ac:dyDescent="0.2">
      <c r="A1268" s="3" t="s">
        <v>3104</v>
      </c>
      <c r="B1268" s="3" t="s">
        <v>3105</v>
      </c>
      <c r="C1268" s="3" t="s">
        <v>2678</v>
      </c>
      <c r="D1268" s="2"/>
      <c r="E1268" s="2"/>
      <c r="F1268" s="3"/>
    </row>
    <row r="1269" spans="1:6" ht="15" customHeight="1" x14ac:dyDescent="0.2">
      <c r="A1269" s="9" t="s">
        <v>3106</v>
      </c>
      <c r="B1269" s="9" t="s">
        <v>3107</v>
      </c>
      <c r="C1269" s="9" t="s">
        <v>2678</v>
      </c>
      <c r="D1269" s="8"/>
      <c r="E1269" s="8"/>
      <c r="F1269" s="9"/>
    </row>
    <row r="1270" spans="1:6" ht="15" customHeight="1" x14ac:dyDescent="0.2">
      <c r="A1270" s="3" t="s">
        <v>3108</v>
      </c>
      <c r="B1270" s="3" t="s">
        <v>3109</v>
      </c>
      <c r="C1270" s="3" t="s">
        <v>2678</v>
      </c>
      <c r="D1270" s="2"/>
      <c r="E1270" s="2"/>
      <c r="F1270" s="3"/>
    </row>
    <row r="1271" spans="1:6" ht="15" customHeight="1" x14ac:dyDescent="0.2">
      <c r="A1271" s="9" t="s">
        <v>3110</v>
      </c>
      <c r="B1271" s="9" t="s">
        <v>3111</v>
      </c>
      <c r="C1271" s="9" t="s">
        <v>2678</v>
      </c>
      <c r="D1271" s="8"/>
      <c r="E1271" s="8"/>
      <c r="F1271" s="9"/>
    </row>
    <row r="1272" spans="1:6" ht="15" customHeight="1" x14ac:dyDescent="0.2">
      <c r="A1272" s="3" t="s">
        <v>3112</v>
      </c>
      <c r="B1272" s="3" t="s">
        <v>2973</v>
      </c>
      <c r="C1272" s="3" t="s">
        <v>2678</v>
      </c>
      <c r="D1272" s="2"/>
      <c r="E1272" s="2"/>
      <c r="F1272" s="3"/>
    </row>
    <row r="1273" spans="1:6" ht="15" customHeight="1" x14ac:dyDescent="0.2">
      <c r="A1273" s="9" t="s">
        <v>3113</v>
      </c>
      <c r="B1273" s="9" t="s">
        <v>3114</v>
      </c>
      <c r="C1273" s="9" t="s">
        <v>2678</v>
      </c>
      <c r="D1273" s="8"/>
      <c r="E1273" s="8"/>
      <c r="F1273" s="9"/>
    </row>
    <row r="1274" spans="1:6" ht="15" customHeight="1" x14ac:dyDescent="0.2">
      <c r="A1274" s="3" t="s">
        <v>3115</v>
      </c>
      <c r="B1274" s="3" t="s">
        <v>3116</v>
      </c>
      <c r="C1274" s="3" t="s">
        <v>2678</v>
      </c>
      <c r="D1274" s="2"/>
      <c r="E1274" s="2"/>
      <c r="F1274" s="3"/>
    </row>
    <row r="1275" spans="1:6" ht="15" customHeight="1" x14ac:dyDescent="0.2">
      <c r="A1275" s="9" t="s">
        <v>3117</v>
      </c>
      <c r="B1275" s="9" t="s">
        <v>3118</v>
      </c>
      <c r="C1275" s="9" t="s">
        <v>2678</v>
      </c>
      <c r="D1275" s="8"/>
      <c r="E1275" s="8"/>
      <c r="F1275" s="9"/>
    </row>
    <row r="1276" spans="1:6" ht="15" customHeight="1" x14ac:dyDescent="0.2">
      <c r="A1276" s="3" t="s">
        <v>3119</v>
      </c>
      <c r="B1276" s="3" t="s">
        <v>3120</v>
      </c>
      <c r="C1276" s="3" t="s">
        <v>2678</v>
      </c>
      <c r="D1276" s="2"/>
      <c r="E1276" s="2"/>
      <c r="F1276" s="3"/>
    </row>
    <row r="1277" spans="1:6" ht="15" customHeight="1" x14ac:dyDescent="0.2">
      <c r="A1277" s="9" t="s">
        <v>3121</v>
      </c>
      <c r="B1277" s="9" t="s">
        <v>3122</v>
      </c>
      <c r="C1277" s="9" t="s">
        <v>2678</v>
      </c>
      <c r="D1277" s="8"/>
      <c r="E1277" s="8"/>
      <c r="F1277" s="9"/>
    </row>
    <row r="1278" spans="1:6" ht="15" customHeight="1" x14ac:dyDescent="0.2">
      <c r="A1278" s="3" t="s">
        <v>3123</v>
      </c>
      <c r="B1278" s="3" t="s">
        <v>3124</v>
      </c>
      <c r="C1278" s="3" t="s">
        <v>2678</v>
      </c>
      <c r="D1278" s="2"/>
      <c r="E1278" s="2"/>
      <c r="F1278" s="3"/>
    </row>
    <row r="1279" spans="1:6" ht="15" customHeight="1" x14ac:dyDescent="0.2">
      <c r="A1279" s="9" t="s">
        <v>3125</v>
      </c>
      <c r="B1279" s="9" t="s">
        <v>3126</v>
      </c>
      <c r="C1279" s="9" t="s">
        <v>2678</v>
      </c>
      <c r="D1279" s="8"/>
      <c r="E1279" s="8"/>
      <c r="F1279" s="9"/>
    </row>
    <row r="1280" spans="1:6" ht="15" customHeight="1" x14ac:dyDescent="0.2">
      <c r="A1280" s="3" t="s">
        <v>3127</v>
      </c>
      <c r="B1280" s="3" t="s">
        <v>3128</v>
      </c>
      <c r="C1280" s="3" t="s">
        <v>2678</v>
      </c>
      <c r="D1280" s="2"/>
      <c r="E1280" s="2"/>
      <c r="F1280" s="3"/>
    </row>
    <row r="1281" spans="1:6" ht="15" customHeight="1" x14ac:dyDescent="0.2">
      <c r="A1281" s="9" t="s">
        <v>3129</v>
      </c>
      <c r="B1281" s="9" t="s">
        <v>3130</v>
      </c>
      <c r="C1281" s="9" t="s">
        <v>2678</v>
      </c>
      <c r="D1281" s="8"/>
      <c r="E1281" s="8"/>
      <c r="F1281" s="9"/>
    </row>
    <row r="1282" spans="1:6" ht="15" customHeight="1" x14ac:dyDescent="0.2">
      <c r="A1282" s="3" t="s">
        <v>3131</v>
      </c>
      <c r="B1282" s="3" t="s">
        <v>3132</v>
      </c>
      <c r="C1282" s="3" t="s">
        <v>2678</v>
      </c>
      <c r="D1282" s="2"/>
      <c r="E1282" s="2"/>
      <c r="F1282" s="3"/>
    </row>
    <row r="1283" spans="1:6" ht="15" customHeight="1" x14ac:dyDescent="0.2">
      <c r="A1283" s="9" t="s">
        <v>3133</v>
      </c>
      <c r="B1283" s="9" t="s">
        <v>3134</v>
      </c>
      <c r="C1283" s="9" t="s">
        <v>2678</v>
      </c>
      <c r="D1283" s="8"/>
      <c r="E1283" s="8"/>
      <c r="F1283" s="9"/>
    </row>
    <row r="1284" spans="1:6" ht="15" customHeight="1" x14ac:dyDescent="0.2">
      <c r="A1284" s="3" t="s">
        <v>3135</v>
      </c>
      <c r="B1284" s="3" t="s">
        <v>3136</v>
      </c>
      <c r="C1284" s="3" t="s">
        <v>2678</v>
      </c>
      <c r="D1284" s="2"/>
      <c r="E1284" s="2"/>
      <c r="F1284" s="3"/>
    </row>
    <row r="1285" spans="1:6" ht="15" customHeight="1" x14ac:dyDescent="0.2">
      <c r="A1285" s="9" t="s">
        <v>3137</v>
      </c>
      <c r="B1285" s="9" t="s">
        <v>3138</v>
      </c>
      <c r="C1285" s="9" t="s">
        <v>2678</v>
      </c>
      <c r="D1285" s="8"/>
      <c r="E1285" s="8"/>
      <c r="F1285" s="9"/>
    </row>
    <row r="1286" spans="1:6" ht="15" customHeight="1" x14ac:dyDescent="0.2">
      <c r="A1286" s="3" t="s">
        <v>3139</v>
      </c>
      <c r="B1286" s="3" t="s">
        <v>3140</v>
      </c>
      <c r="C1286" s="3" t="s">
        <v>2678</v>
      </c>
      <c r="D1286" s="2"/>
      <c r="E1286" s="2"/>
      <c r="F1286" s="3"/>
    </row>
    <row r="1287" spans="1:6" ht="15" customHeight="1" x14ac:dyDescent="0.2">
      <c r="A1287" s="9" t="s">
        <v>3141</v>
      </c>
      <c r="B1287" s="9" t="s">
        <v>3142</v>
      </c>
      <c r="C1287" s="9" t="s">
        <v>2678</v>
      </c>
      <c r="D1287" s="8"/>
      <c r="E1287" s="8"/>
      <c r="F1287" s="9"/>
    </row>
    <row r="1288" spans="1:6" ht="15" customHeight="1" x14ac:dyDescent="0.2">
      <c r="A1288" s="3" t="s">
        <v>3143</v>
      </c>
      <c r="B1288" s="3" t="s">
        <v>3144</v>
      </c>
      <c r="C1288" s="3" t="s">
        <v>2678</v>
      </c>
      <c r="D1288" s="2"/>
      <c r="E1288" s="2"/>
      <c r="F1288" s="3"/>
    </row>
    <row r="1289" spans="1:6" ht="15" customHeight="1" x14ac:dyDescent="0.2">
      <c r="A1289" s="9" t="s">
        <v>3145</v>
      </c>
      <c r="B1289" s="9" t="s">
        <v>3146</v>
      </c>
      <c r="C1289" s="9" t="s">
        <v>2678</v>
      </c>
      <c r="D1289" s="8"/>
      <c r="E1289" s="8"/>
      <c r="F1289" s="9"/>
    </row>
    <row r="1290" spans="1:6" ht="15" customHeight="1" x14ac:dyDescent="0.2">
      <c r="A1290" s="3" t="s">
        <v>3147</v>
      </c>
      <c r="B1290" s="3" t="s">
        <v>3148</v>
      </c>
      <c r="C1290" s="3" t="s">
        <v>2678</v>
      </c>
      <c r="D1290" s="2"/>
      <c r="E1290" s="2"/>
      <c r="F1290" s="3"/>
    </row>
    <row r="1291" spans="1:6" ht="15" customHeight="1" x14ac:dyDescent="0.2">
      <c r="A1291" s="9" t="s">
        <v>3149</v>
      </c>
      <c r="B1291" s="9" t="s">
        <v>3150</v>
      </c>
      <c r="C1291" s="9" t="s">
        <v>2678</v>
      </c>
      <c r="D1291" s="8"/>
      <c r="E1291" s="8"/>
      <c r="F1291" s="9"/>
    </row>
    <row r="1292" spans="1:6" ht="15" customHeight="1" x14ac:dyDescent="0.2">
      <c r="A1292" s="3" t="s">
        <v>3151</v>
      </c>
      <c r="B1292" s="3" t="s">
        <v>3152</v>
      </c>
      <c r="C1292" s="3" t="s">
        <v>2678</v>
      </c>
      <c r="D1292" s="2"/>
      <c r="E1292" s="2"/>
      <c r="F1292" s="3"/>
    </row>
    <row r="1293" spans="1:6" ht="15" customHeight="1" x14ac:dyDescent="0.2">
      <c r="A1293" s="9" t="s">
        <v>3153</v>
      </c>
      <c r="B1293" s="9" t="s">
        <v>3154</v>
      </c>
      <c r="C1293" s="9" t="s">
        <v>2678</v>
      </c>
      <c r="D1293" s="8"/>
      <c r="E1293" s="8"/>
      <c r="F1293" s="9"/>
    </row>
    <row r="1294" spans="1:6" ht="15" customHeight="1" x14ac:dyDescent="0.2">
      <c r="A1294" s="3" t="s">
        <v>3155</v>
      </c>
      <c r="B1294" s="3" t="s">
        <v>3156</v>
      </c>
      <c r="C1294" s="3" t="s">
        <v>2678</v>
      </c>
      <c r="D1294" s="2"/>
      <c r="E1294" s="2"/>
      <c r="F1294" s="3"/>
    </row>
    <row r="1295" spans="1:6" ht="15" customHeight="1" x14ac:dyDescent="0.2">
      <c r="A1295" s="9" t="s">
        <v>3157</v>
      </c>
      <c r="B1295" s="9" t="s">
        <v>3158</v>
      </c>
      <c r="C1295" s="9" t="s">
        <v>2678</v>
      </c>
      <c r="D1295" s="8"/>
      <c r="E1295" s="8"/>
      <c r="F1295" s="9"/>
    </row>
    <row r="1296" spans="1:6" ht="15" customHeight="1" x14ac:dyDescent="0.2">
      <c r="A1296" s="3" t="s">
        <v>3159</v>
      </c>
      <c r="B1296" s="3" t="s">
        <v>3160</v>
      </c>
      <c r="C1296" s="3" t="s">
        <v>2678</v>
      </c>
      <c r="D1296" s="2"/>
      <c r="E1296" s="2"/>
      <c r="F1296" s="3"/>
    </row>
    <row r="1297" spans="1:6" ht="15" customHeight="1" x14ac:dyDescent="0.2">
      <c r="A1297" s="9" t="s">
        <v>3161</v>
      </c>
      <c r="B1297" s="9" t="s">
        <v>3162</v>
      </c>
      <c r="C1297" s="9" t="s">
        <v>2678</v>
      </c>
      <c r="D1297" s="8"/>
      <c r="E1297" s="8"/>
      <c r="F1297" s="9"/>
    </row>
    <row r="1298" spans="1:6" ht="15" customHeight="1" x14ac:dyDescent="0.2">
      <c r="A1298" s="3" t="s">
        <v>3163</v>
      </c>
      <c r="B1298" s="3" t="s">
        <v>3164</v>
      </c>
      <c r="C1298" s="3" t="s">
        <v>2678</v>
      </c>
      <c r="D1298" s="2"/>
      <c r="E1298" s="2"/>
      <c r="F1298" s="3"/>
    </row>
    <row r="1299" spans="1:6" ht="15" customHeight="1" x14ac:dyDescent="0.2">
      <c r="A1299" s="9" t="s">
        <v>3165</v>
      </c>
      <c r="B1299" s="9" t="s">
        <v>3166</v>
      </c>
      <c r="C1299" s="9" t="s">
        <v>2678</v>
      </c>
      <c r="D1299" s="8"/>
      <c r="E1299" s="8"/>
      <c r="F1299" s="9"/>
    </row>
    <row r="1300" spans="1:6" ht="15" customHeight="1" x14ac:dyDescent="0.2">
      <c r="A1300" s="3" t="s">
        <v>3167</v>
      </c>
      <c r="B1300" s="3" t="s">
        <v>3168</v>
      </c>
      <c r="C1300" s="3" t="s">
        <v>2678</v>
      </c>
      <c r="D1300" s="2"/>
      <c r="E1300" s="2"/>
      <c r="F1300" s="3"/>
    </row>
    <row r="1301" spans="1:6" ht="15" customHeight="1" x14ac:dyDescent="0.2">
      <c r="A1301" s="9" t="s">
        <v>3169</v>
      </c>
      <c r="B1301" s="9" t="s">
        <v>3170</v>
      </c>
      <c r="C1301" s="9" t="s">
        <v>2678</v>
      </c>
      <c r="D1301" s="8"/>
      <c r="E1301" s="8"/>
      <c r="F1301" s="9"/>
    </row>
    <row r="1302" spans="1:6" ht="15" customHeight="1" x14ac:dyDescent="0.2">
      <c r="A1302" s="3" t="s">
        <v>3171</v>
      </c>
      <c r="B1302" s="3" t="s">
        <v>3172</v>
      </c>
      <c r="C1302" s="3" t="s">
        <v>2678</v>
      </c>
      <c r="D1302" s="2"/>
      <c r="E1302" s="2"/>
      <c r="F1302" s="3"/>
    </row>
    <row r="1303" spans="1:6" ht="15" customHeight="1" x14ac:dyDescent="0.2">
      <c r="A1303" s="9" t="s">
        <v>3173</v>
      </c>
      <c r="B1303" s="9" t="s">
        <v>3174</v>
      </c>
      <c r="C1303" s="9" t="s">
        <v>2678</v>
      </c>
      <c r="D1303" s="8"/>
      <c r="E1303" s="8"/>
      <c r="F1303" s="9"/>
    </row>
    <row r="1304" spans="1:6" ht="15" customHeight="1" x14ac:dyDescent="0.2">
      <c r="A1304" s="3" t="s">
        <v>3175</v>
      </c>
      <c r="B1304" s="3" t="s">
        <v>3176</v>
      </c>
      <c r="C1304" s="3" t="s">
        <v>2678</v>
      </c>
      <c r="D1304" s="2"/>
      <c r="E1304" s="2"/>
      <c r="F1304" s="3"/>
    </row>
    <row r="1305" spans="1:6" ht="15" customHeight="1" x14ac:dyDescent="0.2">
      <c r="A1305" s="9" t="s">
        <v>3177</v>
      </c>
      <c r="B1305" s="9" t="s">
        <v>3178</v>
      </c>
      <c r="C1305" s="9" t="s">
        <v>2678</v>
      </c>
      <c r="D1305" s="8"/>
      <c r="E1305" s="8"/>
      <c r="F1305" s="9"/>
    </row>
    <row r="1306" spans="1:6" ht="15" customHeight="1" x14ac:dyDescent="0.2">
      <c r="A1306" s="3" t="s">
        <v>3179</v>
      </c>
      <c r="B1306" s="3" t="s">
        <v>3180</v>
      </c>
      <c r="C1306" s="3" t="s">
        <v>2678</v>
      </c>
      <c r="D1306" s="2"/>
      <c r="E1306" s="2"/>
      <c r="F1306" s="3"/>
    </row>
    <row r="1307" spans="1:6" ht="15" customHeight="1" x14ac:dyDescent="0.2">
      <c r="A1307" s="9" t="s">
        <v>3181</v>
      </c>
      <c r="B1307" s="9" t="s">
        <v>3182</v>
      </c>
      <c r="C1307" s="9" t="s">
        <v>2678</v>
      </c>
      <c r="D1307" s="8"/>
      <c r="E1307" s="8"/>
      <c r="F1307" s="9"/>
    </row>
    <row r="1308" spans="1:6" ht="15" customHeight="1" x14ac:dyDescent="0.2">
      <c r="A1308" s="3" t="s">
        <v>3183</v>
      </c>
      <c r="B1308" s="3" t="s">
        <v>3184</v>
      </c>
      <c r="C1308" s="3" t="s">
        <v>2678</v>
      </c>
      <c r="D1308" s="2"/>
      <c r="E1308" s="2"/>
      <c r="F1308" s="3"/>
    </row>
    <row r="1309" spans="1:6" ht="15" customHeight="1" x14ac:dyDescent="0.2">
      <c r="A1309" s="9" t="s">
        <v>3185</v>
      </c>
      <c r="B1309" s="9" t="s">
        <v>3186</v>
      </c>
      <c r="C1309" s="9" t="s">
        <v>2678</v>
      </c>
      <c r="D1309" s="8"/>
      <c r="E1309" s="8"/>
      <c r="F1309" s="9"/>
    </row>
    <row r="1310" spans="1:6" ht="15" customHeight="1" x14ac:dyDescent="0.2">
      <c r="A1310" s="3" t="s">
        <v>3187</v>
      </c>
      <c r="B1310" s="3" t="s">
        <v>3093</v>
      </c>
      <c r="C1310" s="3" t="s">
        <v>2678</v>
      </c>
      <c r="D1310" s="2"/>
      <c r="E1310" s="2"/>
      <c r="F1310" s="3"/>
    </row>
    <row r="1311" spans="1:6" ht="15" customHeight="1" x14ac:dyDescent="0.2">
      <c r="A1311" s="9" t="s">
        <v>3188</v>
      </c>
      <c r="B1311" s="9" t="s">
        <v>3189</v>
      </c>
      <c r="C1311" s="9" t="s">
        <v>2678</v>
      </c>
      <c r="D1311" s="8"/>
      <c r="E1311" s="8"/>
      <c r="F1311" s="9"/>
    </row>
    <row r="1312" spans="1:6" ht="15" customHeight="1" x14ac:dyDescent="0.2">
      <c r="A1312" s="3" t="s">
        <v>3190</v>
      </c>
      <c r="B1312" s="3" t="s">
        <v>3191</v>
      </c>
      <c r="C1312" s="3" t="s">
        <v>2678</v>
      </c>
      <c r="D1312" s="2"/>
      <c r="E1312" s="2"/>
      <c r="F1312" s="3"/>
    </row>
    <row r="1313" spans="1:6" ht="15" customHeight="1" x14ac:dyDescent="0.2">
      <c r="A1313" s="9" t="s">
        <v>3192</v>
      </c>
      <c r="B1313" s="9" t="s">
        <v>3193</v>
      </c>
      <c r="C1313" s="9" t="s">
        <v>2678</v>
      </c>
      <c r="D1313" s="8"/>
      <c r="E1313" s="8"/>
      <c r="F1313" s="9"/>
    </row>
    <row r="1314" spans="1:6" ht="15" customHeight="1" x14ac:dyDescent="0.2">
      <c r="A1314" s="3" t="s">
        <v>3194</v>
      </c>
      <c r="B1314" s="3" t="s">
        <v>3195</v>
      </c>
      <c r="C1314" s="3" t="s">
        <v>2678</v>
      </c>
      <c r="D1314" s="2"/>
      <c r="E1314" s="2"/>
      <c r="F1314" s="3"/>
    </row>
    <row r="1315" spans="1:6" ht="15" customHeight="1" x14ac:dyDescent="0.2">
      <c r="A1315" s="9" t="s">
        <v>3196</v>
      </c>
      <c r="B1315" s="9" t="s">
        <v>3197</v>
      </c>
      <c r="C1315" s="9" t="s">
        <v>2678</v>
      </c>
      <c r="D1315" s="8"/>
      <c r="E1315" s="8"/>
      <c r="F1315" s="9"/>
    </row>
    <row r="1316" spans="1:6" ht="15" customHeight="1" x14ac:dyDescent="0.2">
      <c r="A1316" s="3" t="s">
        <v>3198</v>
      </c>
      <c r="B1316" s="3" t="s">
        <v>3199</v>
      </c>
      <c r="C1316" s="3" t="s">
        <v>2678</v>
      </c>
      <c r="D1316" s="2"/>
      <c r="E1316" s="2"/>
      <c r="F1316" s="3"/>
    </row>
    <row r="1317" spans="1:6" ht="15" customHeight="1" x14ac:dyDescent="0.2">
      <c r="A1317" s="9" t="s">
        <v>3200</v>
      </c>
      <c r="B1317" s="9" t="s">
        <v>3201</v>
      </c>
      <c r="C1317" s="9" t="s">
        <v>2678</v>
      </c>
      <c r="D1317" s="8"/>
      <c r="E1317" s="8"/>
      <c r="F1317" s="9"/>
    </row>
    <row r="1318" spans="1:6" ht="15" customHeight="1" x14ac:dyDescent="0.2">
      <c r="A1318" s="3" t="s">
        <v>3202</v>
      </c>
      <c r="B1318" s="3" t="s">
        <v>3203</v>
      </c>
      <c r="C1318" s="3" t="s">
        <v>2678</v>
      </c>
      <c r="D1318" s="2"/>
      <c r="E1318" s="2"/>
      <c r="F1318" s="3"/>
    </row>
    <row r="1319" spans="1:6" ht="15" customHeight="1" x14ac:dyDescent="0.2">
      <c r="A1319" s="9" t="s">
        <v>3204</v>
      </c>
      <c r="B1319" s="9" t="s">
        <v>3205</v>
      </c>
      <c r="C1319" s="9" t="s">
        <v>2678</v>
      </c>
      <c r="D1319" s="8"/>
      <c r="E1319" s="8"/>
      <c r="F1319" s="9"/>
    </row>
    <row r="1320" spans="1:6" ht="15" customHeight="1" x14ac:dyDescent="0.2">
      <c r="A1320" s="3" t="s">
        <v>3206</v>
      </c>
      <c r="B1320" s="3" t="s">
        <v>3207</v>
      </c>
      <c r="C1320" s="3" t="s">
        <v>2678</v>
      </c>
      <c r="D1320" s="2"/>
      <c r="E1320" s="2"/>
      <c r="F1320" s="3"/>
    </row>
    <row r="1321" spans="1:6" ht="15" customHeight="1" x14ac:dyDescent="0.2">
      <c r="A1321" s="9" t="s">
        <v>3208</v>
      </c>
      <c r="B1321" s="9" t="s">
        <v>3209</v>
      </c>
      <c r="C1321" s="9" t="s">
        <v>2678</v>
      </c>
      <c r="D1321" s="8"/>
      <c r="E1321" s="8"/>
      <c r="F1321" s="9"/>
    </row>
    <row r="1322" spans="1:6" ht="15" customHeight="1" x14ac:dyDescent="0.2">
      <c r="A1322" s="3" t="s">
        <v>3210</v>
      </c>
      <c r="B1322" s="3" t="s">
        <v>3211</v>
      </c>
      <c r="C1322" s="3" t="s">
        <v>2678</v>
      </c>
      <c r="D1322" s="2"/>
      <c r="E1322" s="2"/>
      <c r="F1322" s="3"/>
    </row>
    <row r="1323" spans="1:6" ht="15" customHeight="1" x14ac:dyDescent="0.2">
      <c r="A1323" s="9" t="s">
        <v>3212</v>
      </c>
      <c r="B1323" s="9" t="s">
        <v>2912</v>
      </c>
      <c r="C1323" s="9" t="s">
        <v>2678</v>
      </c>
      <c r="D1323" s="8"/>
      <c r="E1323" s="8"/>
      <c r="F1323" s="9"/>
    </row>
    <row r="1324" spans="1:6" ht="15" customHeight="1" x14ac:dyDescent="0.2">
      <c r="A1324" s="3" t="s">
        <v>3213</v>
      </c>
      <c r="B1324" s="3" t="s">
        <v>2960</v>
      </c>
      <c r="C1324" s="3" t="s">
        <v>2678</v>
      </c>
      <c r="D1324" s="2"/>
      <c r="E1324" s="2"/>
      <c r="F1324" s="3"/>
    </row>
    <row r="1325" spans="1:6" ht="15" customHeight="1" x14ac:dyDescent="0.2">
      <c r="A1325" s="9" t="s">
        <v>3214</v>
      </c>
      <c r="B1325" s="9" t="s">
        <v>3215</v>
      </c>
      <c r="C1325" s="9" t="s">
        <v>2678</v>
      </c>
      <c r="D1325" s="8"/>
      <c r="E1325" s="8"/>
      <c r="F1325" s="9"/>
    </row>
    <row r="1326" spans="1:6" ht="15" customHeight="1" x14ac:dyDescent="0.2">
      <c r="A1326" s="3" t="s">
        <v>3216</v>
      </c>
      <c r="B1326" s="3" t="s">
        <v>3217</v>
      </c>
      <c r="C1326" s="3" t="s">
        <v>2678</v>
      </c>
      <c r="D1326" s="2"/>
      <c r="E1326" s="2"/>
      <c r="F1326" s="3"/>
    </row>
    <row r="1327" spans="1:6" ht="15" customHeight="1" x14ac:dyDescent="0.2">
      <c r="A1327" s="9" t="s">
        <v>3218</v>
      </c>
      <c r="B1327" s="9" t="s">
        <v>3211</v>
      </c>
      <c r="C1327" s="9" t="s">
        <v>2678</v>
      </c>
      <c r="D1327" s="8"/>
      <c r="E1327" s="8"/>
      <c r="F1327" s="9"/>
    </row>
    <row r="1328" spans="1:6" ht="15" customHeight="1" x14ac:dyDescent="0.2">
      <c r="A1328" s="3" t="s">
        <v>3219</v>
      </c>
      <c r="B1328" s="3" t="s">
        <v>3220</v>
      </c>
      <c r="C1328" s="3" t="s">
        <v>2678</v>
      </c>
      <c r="D1328" s="2"/>
      <c r="E1328" s="2"/>
      <c r="F1328" s="3"/>
    </row>
    <row r="1329" spans="1:6" ht="15" customHeight="1" x14ac:dyDescent="0.2">
      <c r="A1329" s="9" t="s">
        <v>3221</v>
      </c>
      <c r="B1329" s="9" t="s">
        <v>3222</v>
      </c>
      <c r="C1329" s="9" t="s">
        <v>2678</v>
      </c>
      <c r="D1329" s="8"/>
      <c r="E1329" s="8"/>
      <c r="F1329" s="9"/>
    </row>
    <row r="1330" spans="1:6" ht="15" customHeight="1" x14ac:dyDescent="0.2">
      <c r="A1330" s="3" t="s">
        <v>3223</v>
      </c>
      <c r="B1330" s="3" t="s">
        <v>3224</v>
      </c>
      <c r="C1330" s="3" t="s">
        <v>2678</v>
      </c>
      <c r="D1330" s="2"/>
      <c r="E1330" s="2"/>
      <c r="F1330" s="3"/>
    </row>
    <row r="1331" spans="1:6" ht="15" customHeight="1" x14ac:dyDescent="0.2">
      <c r="A1331" s="9" t="s">
        <v>3225</v>
      </c>
      <c r="B1331" s="9" t="s">
        <v>3226</v>
      </c>
      <c r="C1331" s="9" t="s">
        <v>2678</v>
      </c>
      <c r="D1331" s="8"/>
      <c r="E1331" s="8"/>
      <c r="F1331" s="9"/>
    </row>
    <row r="1332" spans="1:6" ht="15" customHeight="1" x14ac:dyDescent="0.2">
      <c r="A1332" s="3" t="s">
        <v>3227</v>
      </c>
      <c r="B1332" s="3" t="s">
        <v>2822</v>
      </c>
      <c r="C1332" s="3" t="s">
        <v>2678</v>
      </c>
      <c r="D1332" s="2"/>
      <c r="E1332" s="2"/>
      <c r="F1332" s="3"/>
    </row>
    <row r="1333" spans="1:6" ht="15" customHeight="1" x14ac:dyDescent="0.2">
      <c r="A1333" s="9" t="s">
        <v>3228</v>
      </c>
      <c r="B1333" s="9" t="s">
        <v>3229</v>
      </c>
      <c r="C1333" s="9" t="s">
        <v>2678</v>
      </c>
      <c r="D1333" s="8"/>
      <c r="E1333" s="8"/>
      <c r="F1333" s="9"/>
    </row>
    <row r="1334" spans="1:6" ht="15" customHeight="1" x14ac:dyDescent="0.2">
      <c r="A1334" s="3" t="s">
        <v>3230</v>
      </c>
      <c r="B1334" s="3" t="s">
        <v>3231</v>
      </c>
      <c r="C1334" s="3" t="s">
        <v>2678</v>
      </c>
      <c r="D1334" s="2"/>
      <c r="E1334" s="2"/>
      <c r="F1334" s="3"/>
    </row>
    <row r="1335" spans="1:6" ht="15" customHeight="1" x14ac:dyDescent="0.2">
      <c r="A1335" s="9" t="s">
        <v>3232</v>
      </c>
      <c r="B1335" s="9" t="s">
        <v>3233</v>
      </c>
      <c r="C1335" s="9" t="s">
        <v>2678</v>
      </c>
      <c r="D1335" s="8"/>
      <c r="E1335" s="8"/>
      <c r="F1335" s="9"/>
    </row>
    <row r="1336" spans="1:6" ht="15" customHeight="1" x14ac:dyDescent="0.2">
      <c r="A1336" s="3" t="s">
        <v>3234</v>
      </c>
      <c r="B1336" s="3" t="s">
        <v>3235</v>
      </c>
      <c r="C1336" s="3" t="s">
        <v>2678</v>
      </c>
      <c r="D1336" s="2"/>
      <c r="E1336" s="2"/>
      <c r="F1336" s="3"/>
    </row>
    <row r="1337" spans="1:6" ht="15" customHeight="1" x14ac:dyDescent="0.2">
      <c r="A1337" s="9" t="s">
        <v>3236</v>
      </c>
      <c r="B1337" s="9" t="s">
        <v>3237</v>
      </c>
      <c r="C1337" s="9" t="s">
        <v>2678</v>
      </c>
      <c r="D1337" s="8"/>
      <c r="E1337" s="8"/>
      <c r="F1337" s="9"/>
    </row>
    <row r="1338" spans="1:6" ht="15" customHeight="1" x14ac:dyDescent="0.2">
      <c r="A1338" s="3" t="s">
        <v>3238</v>
      </c>
      <c r="B1338" s="3" t="s">
        <v>3239</v>
      </c>
      <c r="C1338" s="3" t="s">
        <v>2678</v>
      </c>
      <c r="D1338" s="2"/>
      <c r="E1338" s="2"/>
      <c r="F1338" s="3"/>
    </row>
    <row r="1339" spans="1:6" ht="15" customHeight="1" x14ac:dyDescent="0.2">
      <c r="A1339" s="9" t="s">
        <v>3240</v>
      </c>
      <c r="B1339" s="9" t="s">
        <v>3241</v>
      </c>
      <c r="C1339" s="9" t="s">
        <v>2678</v>
      </c>
      <c r="D1339" s="8"/>
      <c r="E1339" s="8"/>
      <c r="F1339" s="9"/>
    </row>
    <row r="1340" spans="1:6" ht="15" customHeight="1" x14ac:dyDescent="0.2">
      <c r="A1340" s="3" t="s">
        <v>3242</v>
      </c>
      <c r="B1340" s="3" t="s">
        <v>2704</v>
      </c>
      <c r="C1340" s="3" t="s">
        <v>2678</v>
      </c>
      <c r="D1340" s="2"/>
      <c r="E1340" s="2"/>
      <c r="F1340" s="3"/>
    </row>
    <row r="1341" spans="1:6" ht="15" customHeight="1" x14ac:dyDescent="0.2">
      <c r="A1341" s="9" t="s">
        <v>3243</v>
      </c>
      <c r="B1341" s="9" t="s">
        <v>3244</v>
      </c>
      <c r="C1341" s="9" t="s">
        <v>2678</v>
      </c>
      <c r="D1341" s="8"/>
      <c r="E1341" s="8"/>
      <c r="F1341" s="9"/>
    </row>
    <row r="1342" spans="1:6" ht="15" customHeight="1" x14ac:dyDescent="0.2">
      <c r="A1342" s="3" t="s">
        <v>3245</v>
      </c>
      <c r="B1342" s="3" t="s">
        <v>2796</v>
      </c>
      <c r="C1342" s="3" t="s">
        <v>2678</v>
      </c>
      <c r="D1342" s="2"/>
      <c r="E1342" s="2"/>
      <c r="F1342" s="3"/>
    </row>
    <row r="1343" spans="1:6" ht="15" customHeight="1" x14ac:dyDescent="0.2">
      <c r="A1343" s="9" t="s">
        <v>3246</v>
      </c>
      <c r="B1343" s="9" t="s">
        <v>3134</v>
      </c>
      <c r="C1343" s="9" t="s">
        <v>2678</v>
      </c>
      <c r="D1343" s="8"/>
      <c r="E1343" s="8"/>
      <c r="F1343" s="9"/>
    </row>
    <row r="1344" spans="1:6" ht="15" customHeight="1" x14ac:dyDescent="0.2">
      <c r="A1344" s="3" t="s">
        <v>3247</v>
      </c>
      <c r="B1344" s="3" t="s">
        <v>3248</v>
      </c>
      <c r="C1344" s="3" t="s">
        <v>2678</v>
      </c>
      <c r="D1344" s="2"/>
      <c r="E1344" s="2"/>
      <c r="F1344" s="3"/>
    </row>
    <row r="1345" spans="1:6" ht="15" customHeight="1" x14ac:dyDescent="0.2">
      <c r="A1345" s="9" t="s">
        <v>3249</v>
      </c>
      <c r="B1345" s="9" t="s">
        <v>3144</v>
      </c>
      <c r="C1345" s="9" t="s">
        <v>2678</v>
      </c>
      <c r="D1345" s="8"/>
      <c r="E1345" s="8"/>
      <c r="F1345" s="9"/>
    </row>
    <row r="1346" spans="1:6" ht="15" customHeight="1" x14ac:dyDescent="0.2">
      <c r="A1346" s="3" t="s">
        <v>3250</v>
      </c>
      <c r="B1346" s="3" t="s">
        <v>3251</v>
      </c>
      <c r="C1346" s="3" t="s">
        <v>2678</v>
      </c>
      <c r="D1346" s="2"/>
      <c r="E1346" s="2"/>
      <c r="F1346" s="3"/>
    </row>
    <row r="1347" spans="1:6" ht="15" customHeight="1" x14ac:dyDescent="0.2">
      <c r="A1347" s="9" t="s">
        <v>3252</v>
      </c>
      <c r="B1347" s="9" t="s">
        <v>3253</v>
      </c>
      <c r="C1347" s="9" t="s">
        <v>2678</v>
      </c>
      <c r="D1347" s="8"/>
      <c r="E1347" s="8"/>
      <c r="F1347" s="9"/>
    </row>
    <row r="1348" spans="1:6" ht="15" customHeight="1" x14ac:dyDescent="0.2">
      <c r="A1348" s="3" t="s">
        <v>3254</v>
      </c>
      <c r="B1348" s="3" t="s">
        <v>3255</v>
      </c>
      <c r="C1348" s="3" t="s">
        <v>2678</v>
      </c>
      <c r="D1348" s="2"/>
      <c r="E1348" s="2"/>
      <c r="F1348" s="3"/>
    </row>
    <row r="1349" spans="1:6" ht="15" customHeight="1" x14ac:dyDescent="0.2">
      <c r="A1349" s="9" t="s">
        <v>3256</v>
      </c>
      <c r="B1349" s="9" t="s">
        <v>3257</v>
      </c>
      <c r="C1349" s="9" t="s">
        <v>2678</v>
      </c>
      <c r="D1349" s="8"/>
      <c r="E1349" s="8"/>
      <c r="F1349" s="9"/>
    </row>
    <row r="1350" spans="1:6" ht="15" customHeight="1" x14ac:dyDescent="0.2">
      <c r="A1350" s="3" t="s">
        <v>3258</v>
      </c>
      <c r="B1350" s="3" t="s">
        <v>2987</v>
      </c>
      <c r="C1350" s="3" t="s">
        <v>2678</v>
      </c>
      <c r="D1350" s="2"/>
      <c r="E1350" s="2"/>
      <c r="F1350" s="3"/>
    </row>
    <row r="1351" spans="1:6" ht="15" customHeight="1" x14ac:dyDescent="0.2">
      <c r="A1351" s="9" t="s">
        <v>3259</v>
      </c>
      <c r="B1351" s="9" t="s">
        <v>3260</v>
      </c>
      <c r="C1351" s="9" t="s">
        <v>2678</v>
      </c>
      <c r="D1351" s="8"/>
      <c r="E1351" s="8"/>
      <c r="F1351" s="9"/>
    </row>
    <row r="1352" spans="1:6" ht="15" customHeight="1" x14ac:dyDescent="0.2">
      <c r="A1352" s="3" t="s">
        <v>3261</v>
      </c>
      <c r="B1352" s="3" t="s">
        <v>2858</v>
      </c>
      <c r="C1352" s="3" t="s">
        <v>2678</v>
      </c>
      <c r="D1352" s="2"/>
      <c r="E1352" s="2"/>
      <c r="F1352" s="3"/>
    </row>
    <row r="1353" spans="1:6" ht="15" customHeight="1" x14ac:dyDescent="0.2">
      <c r="A1353" s="9" t="s">
        <v>3262</v>
      </c>
      <c r="B1353" s="9" t="s">
        <v>3063</v>
      </c>
      <c r="C1353" s="9" t="s">
        <v>2678</v>
      </c>
      <c r="D1353" s="8"/>
      <c r="E1353" s="8"/>
      <c r="F1353" s="9"/>
    </row>
    <row r="1354" spans="1:6" ht="15" customHeight="1" x14ac:dyDescent="0.2">
      <c r="A1354" s="3" t="s">
        <v>3263</v>
      </c>
      <c r="B1354" s="3" t="s">
        <v>2771</v>
      </c>
      <c r="C1354" s="3" t="s">
        <v>2678</v>
      </c>
      <c r="D1354" s="2"/>
      <c r="E1354" s="2"/>
      <c r="F1354" s="3"/>
    </row>
    <row r="1355" spans="1:6" ht="15" customHeight="1" x14ac:dyDescent="0.2">
      <c r="A1355" s="9" t="s">
        <v>3264</v>
      </c>
      <c r="B1355" s="9" t="s">
        <v>3265</v>
      </c>
      <c r="C1355" s="9" t="s">
        <v>2678</v>
      </c>
      <c r="D1355" s="8"/>
      <c r="E1355" s="8"/>
      <c r="F1355" s="9"/>
    </row>
    <row r="1356" spans="1:6" ht="15" customHeight="1" x14ac:dyDescent="0.2">
      <c r="A1356" s="3" t="s">
        <v>3266</v>
      </c>
      <c r="B1356" s="3" t="s">
        <v>3267</v>
      </c>
      <c r="C1356" s="3" t="s">
        <v>2678</v>
      </c>
      <c r="D1356" s="2"/>
      <c r="E1356" s="2"/>
      <c r="F1356" s="3"/>
    </row>
    <row r="1357" spans="1:6" ht="15" customHeight="1" x14ac:dyDescent="0.2">
      <c r="A1357" s="9" t="s">
        <v>3268</v>
      </c>
      <c r="B1357" s="9" t="s">
        <v>3269</v>
      </c>
      <c r="C1357" s="9" t="s">
        <v>2678</v>
      </c>
      <c r="D1357" s="8"/>
      <c r="E1357" s="8"/>
      <c r="F1357" s="9"/>
    </row>
    <row r="1358" spans="1:6" ht="15" customHeight="1" x14ac:dyDescent="0.2">
      <c r="A1358" s="3" t="s">
        <v>3270</v>
      </c>
      <c r="B1358" s="3" t="s">
        <v>3271</v>
      </c>
      <c r="C1358" s="3" t="s">
        <v>2678</v>
      </c>
      <c r="D1358" s="2"/>
      <c r="E1358" s="2"/>
      <c r="F1358" s="3"/>
    </row>
    <row r="1359" spans="1:6" ht="15" customHeight="1" x14ac:dyDescent="0.2">
      <c r="A1359" s="9" t="s">
        <v>3272</v>
      </c>
      <c r="B1359" s="9" t="s">
        <v>3273</v>
      </c>
      <c r="C1359" s="9" t="s">
        <v>2678</v>
      </c>
      <c r="D1359" s="8"/>
      <c r="E1359" s="8"/>
      <c r="F1359" s="9"/>
    </row>
    <row r="1360" spans="1:6" ht="15" customHeight="1" x14ac:dyDescent="0.2">
      <c r="A1360" s="3" t="s">
        <v>3274</v>
      </c>
      <c r="B1360" s="3" t="s">
        <v>3275</v>
      </c>
      <c r="C1360" s="3" t="s">
        <v>2678</v>
      </c>
      <c r="D1360" s="2"/>
      <c r="E1360" s="2"/>
      <c r="F1360" s="3"/>
    </row>
    <row r="1361" spans="1:6" ht="15" customHeight="1" x14ac:dyDescent="0.2">
      <c r="A1361" s="9" t="s">
        <v>3276</v>
      </c>
      <c r="B1361" s="9" t="s">
        <v>3277</v>
      </c>
      <c r="C1361" s="9" t="s">
        <v>2678</v>
      </c>
      <c r="D1361" s="8"/>
      <c r="E1361" s="8"/>
      <c r="F1361" s="9"/>
    </row>
    <row r="1362" spans="1:6" ht="15" customHeight="1" x14ac:dyDescent="0.2">
      <c r="A1362" s="3" t="s">
        <v>3278</v>
      </c>
      <c r="B1362" s="3" t="s">
        <v>3279</v>
      </c>
      <c r="C1362" s="3" t="s">
        <v>2678</v>
      </c>
      <c r="D1362" s="2"/>
      <c r="E1362" s="2"/>
      <c r="F1362" s="3"/>
    </row>
    <row r="1363" spans="1:6" ht="15" customHeight="1" x14ac:dyDescent="0.2">
      <c r="A1363" s="9" t="s">
        <v>3280</v>
      </c>
      <c r="B1363" s="9" t="s">
        <v>3281</v>
      </c>
      <c r="C1363" s="9" t="s">
        <v>2678</v>
      </c>
      <c r="D1363" s="8"/>
      <c r="E1363" s="8"/>
      <c r="F1363" s="9"/>
    </row>
    <row r="1364" spans="1:6" ht="15" customHeight="1" x14ac:dyDescent="0.2">
      <c r="A1364" s="3" t="s">
        <v>3282</v>
      </c>
      <c r="B1364" s="3" t="s">
        <v>3283</v>
      </c>
      <c r="C1364" s="3" t="s">
        <v>2678</v>
      </c>
      <c r="D1364" s="2"/>
      <c r="E1364" s="2"/>
      <c r="F1364" s="3"/>
    </row>
    <row r="1365" spans="1:6" ht="15" customHeight="1" x14ac:dyDescent="0.2">
      <c r="A1365" s="9" t="s">
        <v>3284</v>
      </c>
      <c r="B1365" s="9" t="s">
        <v>3285</v>
      </c>
      <c r="C1365" s="9" t="s">
        <v>2678</v>
      </c>
      <c r="D1365" s="8"/>
      <c r="E1365" s="8"/>
      <c r="F1365" s="9"/>
    </row>
    <row r="1366" spans="1:6" ht="15" customHeight="1" x14ac:dyDescent="0.2">
      <c r="A1366" s="3" t="s">
        <v>3286</v>
      </c>
      <c r="B1366" s="3" t="s">
        <v>3287</v>
      </c>
      <c r="C1366" s="3" t="s">
        <v>2678</v>
      </c>
      <c r="D1366" s="2"/>
      <c r="E1366" s="2"/>
      <c r="F1366" s="3"/>
    </row>
    <row r="1367" spans="1:6" ht="15" customHeight="1" x14ac:dyDescent="0.2">
      <c r="A1367" s="9" t="s">
        <v>3288</v>
      </c>
      <c r="B1367" s="9" t="s">
        <v>3289</v>
      </c>
      <c r="C1367" s="9" t="s">
        <v>2678</v>
      </c>
      <c r="D1367" s="8"/>
      <c r="E1367" s="8"/>
      <c r="F1367" s="9"/>
    </row>
    <row r="1368" spans="1:6" ht="15" customHeight="1" x14ac:dyDescent="0.2">
      <c r="A1368" s="3" t="s">
        <v>3290</v>
      </c>
      <c r="B1368" s="3" t="s">
        <v>3291</v>
      </c>
      <c r="C1368" s="3" t="s">
        <v>2678</v>
      </c>
      <c r="D1368" s="2"/>
      <c r="E1368" s="2"/>
      <c r="F1368" s="3"/>
    </row>
    <row r="1369" spans="1:6" ht="15" customHeight="1" x14ac:dyDescent="0.2">
      <c r="A1369" s="9" t="s">
        <v>3292</v>
      </c>
      <c r="B1369" s="9" t="s">
        <v>3293</v>
      </c>
      <c r="C1369" s="9" t="s">
        <v>2678</v>
      </c>
      <c r="D1369" s="8"/>
      <c r="E1369" s="8"/>
      <c r="F1369" s="9"/>
    </row>
    <row r="1370" spans="1:6" ht="15" customHeight="1" x14ac:dyDescent="0.2">
      <c r="A1370" s="3" t="s">
        <v>3294</v>
      </c>
      <c r="B1370" s="3" t="s">
        <v>3295</v>
      </c>
      <c r="C1370" s="3" t="s">
        <v>2678</v>
      </c>
      <c r="D1370" s="2"/>
      <c r="E1370" s="2"/>
      <c r="F1370" s="3"/>
    </row>
    <row r="1371" spans="1:6" ht="15" customHeight="1" x14ac:dyDescent="0.2">
      <c r="A1371" s="9" t="s">
        <v>3296</v>
      </c>
      <c r="B1371" s="9" t="s">
        <v>3297</v>
      </c>
      <c r="C1371" s="9" t="s">
        <v>2678</v>
      </c>
      <c r="D1371" s="8"/>
      <c r="E1371" s="8"/>
      <c r="F1371" s="9"/>
    </row>
    <row r="1372" spans="1:6" ht="15" customHeight="1" x14ac:dyDescent="0.2">
      <c r="A1372" s="3" t="s">
        <v>3298</v>
      </c>
      <c r="B1372" s="3" t="s">
        <v>3299</v>
      </c>
      <c r="C1372" s="3" t="s">
        <v>2678</v>
      </c>
      <c r="D1372" s="2"/>
      <c r="E1372" s="2"/>
      <c r="F1372" s="3"/>
    </row>
    <row r="1373" spans="1:6" ht="15" customHeight="1" x14ac:dyDescent="0.2">
      <c r="A1373" s="9" t="s">
        <v>3300</v>
      </c>
      <c r="B1373" s="9" t="s">
        <v>3301</v>
      </c>
      <c r="C1373" s="9" t="s">
        <v>2678</v>
      </c>
      <c r="D1373" s="8"/>
      <c r="E1373" s="8"/>
      <c r="F1373" s="9"/>
    </row>
    <row r="1374" spans="1:6" ht="15" customHeight="1" x14ac:dyDescent="0.2">
      <c r="A1374" s="3" t="s">
        <v>3302</v>
      </c>
      <c r="B1374" s="3" t="s">
        <v>3303</v>
      </c>
      <c r="C1374" s="3" t="s">
        <v>2678</v>
      </c>
      <c r="D1374" s="2"/>
      <c r="E1374" s="2"/>
      <c r="F1374" s="3"/>
    </row>
    <row r="1375" spans="1:6" ht="15" customHeight="1" x14ac:dyDescent="0.2">
      <c r="A1375" s="9" t="s">
        <v>3304</v>
      </c>
      <c r="B1375" s="9" t="s">
        <v>3305</v>
      </c>
      <c r="C1375" s="9" t="s">
        <v>2678</v>
      </c>
      <c r="D1375" s="8"/>
      <c r="E1375" s="8"/>
      <c r="F1375" s="9"/>
    </row>
    <row r="1376" spans="1:6" ht="15" customHeight="1" x14ac:dyDescent="0.2">
      <c r="A1376" s="3" t="s">
        <v>3306</v>
      </c>
      <c r="B1376" s="3" t="s">
        <v>3307</v>
      </c>
      <c r="C1376" s="3" t="s">
        <v>2678</v>
      </c>
      <c r="D1376" s="2"/>
      <c r="E1376" s="2"/>
      <c r="F1376" s="3"/>
    </row>
    <row r="1377" spans="1:6" ht="15" customHeight="1" x14ac:dyDescent="0.2">
      <c r="A1377" s="9" t="s">
        <v>3308</v>
      </c>
      <c r="B1377" s="9" t="s">
        <v>3309</v>
      </c>
      <c r="C1377" s="9" t="s">
        <v>2678</v>
      </c>
      <c r="D1377" s="8"/>
      <c r="E1377" s="8"/>
      <c r="F1377" s="9"/>
    </row>
    <row r="1378" spans="1:6" ht="15" customHeight="1" x14ac:dyDescent="0.2">
      <c r="A1378" s="3" t="s">
        <v>3310</v>
      </c>
      <c r="B1378" s="3" t="s">
        <v>3311</v>
      </c>
      <c r="C1378" s="3" t="s">
        <v>2678</v>
      </c>
      <c r="D1378" s="2"/>
      <c r="E1378" s="2"/>
      <c r="F1378" s="3"/>
    </row>
    <row r="1379" spans="1:6" ht="15" customHeight="1" x14ac:dyDescent="0.2">
      <c r="A1379" s="9" t="s">
        <v>3312</v>
      </c>
      <c r="B1379" s="9" t="s">
        <v>3313</v>
      </c>
      <c r="C1379" s="9" t="s">
        <v>2678</v>
      </c>
      <c r="D1379" s="8"/>
      <c r="E1379" s="8"/>
      <c r="F1379" s="9"/>
    </row>
    <row r="1380" spans="1:6" ht="15" customHeight="1" x14ac:dyDescent="0.2">
      <c r="A1380" s="3" t="s">
        <v>3314</v>
      </c>
      <c r="B1380" s="3" t="s">
        <v>3315</v>
      </c>
      <c r="C1380" s="3" t="s">
        <v>2678</v>
      </c>
      <c r="D1380" s="2"/>
      <c r="E1380" s="2"/>
      <c r="F1380" s="3"/>
    </row>
    <row r="1381" spans="1:6" ht="15" customHeight="1" x14ac:dyDescent="0.2">
      <c r="A1381" s="9" t="s">
        <v>3316</v>
      </c>
      <c r="B1381" s="9" t="s">
        <v>3317</v>
      </c>
      <c r="C1381" s="9" t="s">
        <v>2678</v>
      </c>
      <c r="D1381" s="8"/>
      <c r="E1381" s="8"/>
      <c r="F1381" s="9"/>
    </row>
    <row r="1382" spans="1:6" ht="15" customHeight="1" x14ac:dyDescent="0.2">
      <c r="A1382" s="3" t="s">
        <v>3318</v>
      </c>
      <c r="B1382" s="3" t="s">
        <v>3319</v>
      </c>
      <c r="C1382" s="3" t="s">
        <v>2678</v>
      </c>
      <c r="D1382" s="2"/>
      <c r="E1382" s="2"/>
      <c r="F1382" s="3"/>
    </row>
    <row r="1383" spans="1:6" ht="15" customHeight="1" x14ac:dyDescent="0.2">
      <c r="A1383" s="9" t="s">
        <v>3320</v>
      </c>
      <c r="B1383" s="9" t="s">
        <v>3321</v>
      </c>
      <c r="C1383" s="9" t="s">
        <v>2678</v>
      </c>
      <c r="D1383" s="8" t="s">
        <v>57</v>
      </c>
      <c r="E1383" s="8" t="s">
        <v>874</v>
      </c>
      <c r="F1383" s="9" t="s">
        <v>2963</v>
      </c>
    </row>
    <row r="1384" spans="1:6" ht="15" customHeight="1" x14ac:dyDescent="0.2">
      <c r="A1384" s="3" t="s">
        <v>3322</v>
      </c>
      <c r="B1384" s="3" t="s">
        <v>3323</v>
      </c>
      <c r="C1384" s="3" t="s">
        <v>2678</v>
      </c>
      <c r="D1384" s="2"/>
      <c r="E1384" s="2"/>
      <c r="F1384" s="3"/>
    </row>
    <row r="1385" spans="1:6" ht="15" customHeight="1" x14ac:dyDescent="0.2">
      <c r="A1385" s="9" t="s">
        <v>3324</v>
      </c>
      <c r="B1385" s="9" t="s">
        <v>3325</v>
      </c>
      <c r="C1385" s="9" t="s">
        <v>2678</v>
      </c>
      <c r="D1385" s="8"/>
      <c r="E1385" s="8"/>
      <c r="F1385" s="9"/>
    </row>
    <row r="1386" spans="1:6" ht="15" customHeight="1" x14ac:dyDescent="0.2">
      <c r="A1386" s="3" t="s">
        <v>3326</v>
      </c>
      <c r="B1386" s="3" t="s">
        <v>3327</v>
      </c>
      <c r="C1386" s="3" t="s">
        <v>2678</v>
      </c>
      <c r="D1386" s="2"/>
      <c r="E1386" s="2"/>
      <c r="F1386" s="3"/>
    </row>
    <row r="1387" spans="1:6" ht="15" customHeight="1" x14ac:dyDescent="0.2">
      <c r="A1387" s="9" t="s">
        <v>3328</v>
      </c>
      <c r="B1387" s="9" t="s">
        <v>3329</v>
      </c>
      <c r="C1387" s="9" t="s">
        <v>2678</v>
      </c>
      <c r="D1387" s="8"/>
      <c r="E1387" s="8"/>
      <c r="F1387" s="9"/>
    </row>
    <row r="1388" spans="1:6" ht="15" customHeight="1" x14ac:dyDescent="0.2">
      <c r="A1388" s="3" t="s">
        <v>3330</v>
      </c>
      <c r="B1388" s="3" t="s">
        <v>3331</v>
      </c>
      <c r="C1388" s="3" t="s">
        <v>2678</v>
      </c>
      <c r="D1388" s="2"/>
      <c r="E1388" s="2"/>
      <c r="F1388" s="3"/>
    </row>
    <row r="1389" spans="1:6" ht="15" customHeight="1" x14ac:dyDescent="0.2">
      <c r="A1389" s="9" t="s">
        <v>3332</v>
      </c>
      <c r="B1389" s="9" t="s">
        <v>3333</v>
      </c>
      <c r="C1389" s="9" t="s">
        <v>2678</v>
      </c>
      <c r="D1389" s="8"/>
      <c r="E1389" s="8"/>
      <c r="F1389" s="9"/>
    </row>
    <row r="1390" spans="1:6" ht="15" customHeight="1" x14ac:dyDescent="0.2">
      <c r="A1390" s="3" t="s">
        <v>3334</v>
      </c>
      <c r="B1390" s="3" t="s">
        <v>3335</v>
      </c>
      <c r="C1390" s="3" t="s">
        <v>2678</v>
      </c>
      <c r="D1390" s="2"/>
      <c r="E1390" s="2"/>
      <c r="F1390" s="3"/>
    </row>
    <row r="1391" spans="1:6" ht="15" customHeight="1" x14ac:dyDescent="0.2">
      <c r="A1391" s="9" t="s">
        <v>3336</v>
      </c>
      <c r="B1391" s="9" t="s">
        <v>3337</v>
      </c>
      <c r="C1391" s="9" t="s">
        <v>2678</v>
      </c>
      <c r="D1391" s="8"/>
      <c r="E1391" s="8"/>
      <c r="F1391" s="9"/>
    </row>
    <row r="1392" spans="1:6" ht="15" customHeight="1" x14ac:dyDescent="0.2">
      <c r="A1392" s="3" t="s">
        <v>3338</v>
      </c>
      <c r="B1392" s="3" t="s">
        <v>3339</v>
      </c>
      <c r="C1392" s="3" t="s">
        <v>2678</v>
      </c>
      <c r="D1392" s="2"/>
      <c r="E1392" s="2"/>
      <c r="F1392" s="3"/>
    </row>
    <row r="1393" spans="1:6" ht="15" customHeight="1" x14ac:dyDescent="0.2">
      <c r="A1393" s="9" t="s">
        <v>3340</v>
      </c>
      <c r="B1393" s="9" t="s">
        <v>3341</v>
      </c>
      <c r="C1393" s="9" t="s">
        <v>2678</v>
      </c>
      <c r="D1393" s="8"/>
      <c r="E1393" s="8"/>
      <c r="F1393" s="9"/>
    </row>
    <row r="1394" spans="1:6" ht="15" customHeight="1" x14ac:dyDescent="0.2">
      <c r="A1394" s="3" t="s">
        <v>3342</v>
      </c>
      <c r="B1394" s="3" t="s">
        <v>3172</v>
      </c>
      <c r="C1394" s="3" t="s">
        <v>2678</v>
      </c>
      <c r="D1394" s="2"/>
      <c r="E1394" s="2"/>
      <c r="F1394" s="3"/>
    </row>
    <row r="1395" spans="1:6" ht="15" customHeight="1" x14ac:dyDescent="0.2">
      <c r="A1395" s="9" t="s">
        <v>3343</v>
      </c>
      <c r="B1395" s="9" t="s">
        <v>3344</v>
      </c>
      <c r="C1395" s="9" t="s">
        <v>2678</v>
      </c>
      <c r="D1395" s="8"/>
      <c r="E1395" s="8"/>
      <c r="F1395" s="9"/>
    </row>
    <row r="1396" spans="1:6" ht="15" customHeight="1" x14ac:dyDescent="0.2">
      <c r="A1396" s="3" t="s">
        <v>3345</v>
      </c>
      <c r="B1396" s="3" t="s">
        <v>3346</v>
      </c>
      <c r="C1396" s="3" t="s">
        <v>2678</v>
      </c>
      <c r="D1396" s="2"/>
      <c r="E1396" s="2"/>
      <c r="F1396" s="3"/>
    </row>
    <row r="1397" spans="1:6" ht="15" customHeight="1" x14ac:dyDescent="0.2">
      <c r="A1397" s="9" t="s">
        <v>3347</v>
      </c>
      <c r="B1397" s="9" t="s">
        <v>3348</v>
      </c>
      <c r="C1397" s="9" t="s">
        <v>2678</v>
      </c>
      <c r="D1397" s="8"/>
      <c r="E1397" s="8"/>
      <c r="F1397" s="9"/>
    </row>
    <row r="1398" spans="1:6" ht="15" customHeight="1" x14ac:dyDescent="0.2">
      <c r="A1398" s="3" t="s">
        <v>3349</v>
      </c>
      <c r="B1398" s="3" t="s">
        <v>3350</v>
      </c>
      <c r="C1398" s="3" t="s">
        <v>2678</v>
      </c>
      <c r="D1398" s="2"/>
      <c r="E1398" s="2"/>
      <c r="F1398" s="3"/>
    </row>
    <row r="1399" spans="1:6" ht="15" customHeight="1" x14ac:dyDescent="0.2">
      <c r="A1399" s="9" t="s">
        <v>3351</v>
      </c>
      <c r="B1399" s="9" t="s">
        <v>3352</v>
      </c>
      <c r="C1399" s="9" t="s">
        <v>2678</v>
      </c>
      <c r="D1399" s="8"/>
      <c r="E1399" s="8"/>
      <c r="F1399" s="9"/>
    </row>
    <row r="1400" spans="1:6" ht="15" customHeight="1" x14ac:dyDescent="0.2">
      <c r="A1400" s="3" t="s">
        <v>3353</v>
      </c>
      <c r="B1400" s="3" t="s">
        <v>3354</v>
      </c>
      <c r="C1400" s="3" t="s">
        <v>2678</v>
      </c>
      <c r="D1400" s="2"/>
      <c r="E1400" s="2"/>
      <c r="F1400" s="3"/>
    </row>
    <row r="1401" spans="1:6" ht="15" customHeight="1" x14ac:dyDescent="0.2">
      <c r="A1401" s="9" t="s">
        <v>3355</v>
      </c>
      <c r="B1401" s="9" t="s">
        <v>3356</v>
      </c>
      <c r="C1401" s="9" t="s">
        <v>2678</v>
      </c>
      <c r="D1401" s="8"/>
      <c r="E1401" s="8"/>
      <c r="F1401" s="9"/>
    </row>
    <row r="1402" spans="1:6" ht="15" customHeight="1" x14ac:dyDescent="0.2">
      <c r="A1402" s="3" t="s">
        <v>3357</v>
      </c>
      <c r="B1402" s="3" t="s">
        <v>3358</v>
      </c>
      <c r="C1402" s="3" t="s">
        <v>2678</v>
      </c>
      <c r="D1402" s="2"/>
      <c r="E1402" s="2"/>
      <c r="F1402" s="3"/>
    </row>
    <row r="1403" spans="1:6" ht="15" customHeight="1" x14ac:dyDescent="0.2">
      <c r="A1403" s="9" t="s">
        <v>3359</v>
      </c>
      <c r="B1403" s="9" t="s">
        <v>3360</v>
      </c>
      <c r="C1403" s="9" t="s">
        <v>2678</v>
      </c>
      <c r="D1403" s="8"/>
      <c r="E1403" s="8"/>
      <c r="F1403" s="9"/>
    </row>
    <row r="1404" spans="1:6" ht="15" customHeight="1" x14ac:dyDescent="0.2">
      <c r="A1404" s="3" t="s">
        <v>3361</v>
      </c>
      <c r="B1404" s="3" t="s">
        <v>3362</v>
      </c>
      <c r="C1404" s="3" t="s">
        <v>2678</v>
      </c>
      <c r="D1404" s="2"/>
      <c r="E1404" s="2"/>
      <c r="F1404" s="3"/>
    </row>
    <row r="1405" spans="1:6" ht="15" customHeight="1" x14ac:dyDescent="0.2">
      <c r="A1405" s="9" t="s">
        <v>3363</v>
      </c>
      <c r="B1405" s="9" t="s">
        <v>3364</v>
      </c>
      <c r="C1405" s="9" t="s">
        <v>2678</v>
      </c>
      <c r="D1405" s="8"/>
      <c r="E1405" s="8"/>
      <c r="F1405" s="9"/>
    </row>
    <row r="1406" spans="1:6" ht="15" customHeight="1" x14ac:dyDescent="0.2">
      <c r="A1406" s="3" t="s">
        <v>3365</v>
      </c>
      <c r="B1406" s="3" t="s">
        <v>3366</v>
      </c>
      <c r="C1406" s="3" t="s">
        <v>2678</v>
      </c>
      <c r="D1406" s="2"/>
      <c r="E1406" s="2"/>
      <c r="F1406" s="3"/>
    </row>
    <row r="1407" spans="1:6" ht="15" customHeight="1" x14ac:dyDescent="0.2">
      <c r="A1407" s="9" t="s">
        <v>3367</v>
      </c>
      <c r="B1407" s="9" t="s">
        <v>3368</v>
      </c>
      <c r="C1407" s="9" t="s">
        <v>2678</v>
      </c>
      <c r="D1407" s="8"/>
      <c r="E1407" s="8"/>
      <c r="F1407" s="9"/>
    </row>
    <row r="1408" spans="1:6" ht="15" customHeight="1" x14ac:dyDescent="0.2">
      <c r="A1408" s="3" t="s">
        <v>3369</v>
      </c>
      <c r="B1408" s="3" t="s">
        <v>3370</v>
      </c>
      <c r="C1408" s="3" t="s">
        <v>2678</v>
      </c>
      <c r="D1408" s="2"/>
      <c r="E1408" s="2"/>
      <c r="F1408" s="3"/>
    </row>
    <row r="1409" spans="1:6" ht="15" customHeight="1" x14ac:dyDescent="0.2">
      <c r="A1409" s="9" t="s">
        <v>3371</v>
      </c>
      <c r="B1409" s="9" t="s">
        <v>3372</v>
      </c>
      <c r="C1409" s="9" t="s">
        <v>2678</v>
      </c>
      <c r="D1409" s="8"/>
      <c r="E1409" s="8"/>
      <c r="F1409" s="9"/>
    </row>
    <row r="1410" spans="1:6" ht="15" customHeight="1" x14ac:dyDescent="0.2">
      <c r="A1410" s="3" t="s">
        <v>3373</v>
      </c>
      <c r="B1410" s="3" t="s">
        <v>3374</v>
      </c>
      <c r="C1410" s="3" t="s">
        <v>2678</v>
      </c>
      <c r="D1410" s="2"/>
      <c r="E1410" s="2"/>
      <c r="F1410" s="3"/>
    </row>
    <row r="1411" spans="1:6" ht="15" customHeight="1" x14ac:dyDescent="0.2">
      <c r="A1411" s="9" t="s">
        <v>3375</v>
      </c>
      <c r="B1411" s="9" t="s">
        <v>3376</v>
      </c>
      <c r="C1411" s="9" t="s">
        <v>2678</v>
      </c>
      <c r="D1411" s="8"/>
      <c r="E1411" s="8"/>
      <c r="F1411" s="9"/>
    </row>
    <row r="1412" spans="1:6" ht="15" customHeight="1" x14ac:dyDescent="0.2">
      <c r="A1412" s="3" t="s">
        <v>3377</v>
      </c>
      <c r="B1412" s="3" t="s">
        <v>3378</v>
      </c>
      <c r="C1412" s="3" t="s">
        <v>2678</v>
      </c>
      <c r="D1412" s="2"/>
      <c r="E1412" s="2"/>
      <c r="F1412" s="3"/>
    </row>
    <row r="1413" spans="1:6" ht="15" customHeight="1" x14ac:dyDescent="0.2">
      <c r="A1413" s="9" t="s">
        <v>3379</v>
      </c>
      <c r="B1413" s="9" t="s">
        <v>3380</v>
      </c>
      <c r="C1413" s="9" t="s">
        <v>2678</v>
      </c>
      <c r="D1413" s="8"/>
      <c r="E1413" s="8"/>
      <c r="F1413" s="9"/>
    </row>
    <row r="1414" spans="1:6" ht="15" customHeight="1" x14ac:dyDescent="0.2">
      <c r="A1414" s="3" t="s">
        <v>3381</v>
      </c>
      <c r="B1414" s="3" t="s">
        <v>3382</v>
      </c>
      <c r="C1414" s="3" t="s">
        <v>2678</v>
      </c>
      <c r="D1414" s="2"/>
      <c r="E1414" s="2"/>
      <c r="F1414" s="3"/>
    </row>
    <row r="1415" spans="1:6" ht="15" customHeight="1" x14ac:dyDescent="0.2">
      <c r="A1415" s="9" t="s">
        <v>3383</v>
      </c>
      <c r="B1415" s="9" t="s">
        <v>3384</v>
      </c>
      <c r="C1415" s="9" t="s">
        <v>2678</v>
      </c>
      <c r="D1415" s="8"/>
      <c r="E1415" s="8"/>
      <c r="F1415" s="9"/>
    </row>
    <row r="1416" spans="1:6" ht="15" customHeight="1" x14ac:dyDescent="0.2">
      <c r="A1416" s="3" t="s">
        <v>3385</v>
      </c>
      <c r="B1416" s="3" t="s">
        <v>3386</v>
      </c>
      <c r="C1416" s="3" t="s">
        <v>2678</v>
      </c>
      <c r="D1416" s="2"/>
      <c r="E1416" s="2"/>
      <c r="F1416" s="3"/>
    </row>
    <row r="1417" spans="1:6" ht="15" customHeight="1" x14ac:dyDescent="0.2">
      <c r="A1417" s="9" t="s">
        <v>3387</v>
      </c>
      <c r="B1417" s="9" t="s">
        <v>3388</v>
      </c>
      <c r="C1417" s="9" t="s">
        <v>2678</v>
      </c>
      <c r="D1417" s="8"/>
      <c r="E1417" s="8"/>
      <c r="F1417" s="9"/>
    </row>
    <row r="1418" spans="1:6" ht="15" customHeight="1" x14ac:dyDescent="0.2">
      <c r="A1418" s="3" t="s">
        <v>3389</v>
      </c>
      <c r="B1418" s="3" t="s">
        <v>3390</v>
      </c>
      <c r="C1418" s="3" t="s">
        <v>2678</v>
      </c>
      <c r="D1418" s="2"/>
      <c r="E1418" s="2"/>
      <c r="F1418" s="3"/>
    </row>
    <row r="1419" spans="1:6" ht="15" customHeight="1" x14ac:dyDescent="0.2">
      <c r="A1419" s="9" t="s">
        <v>3391</v>
      </c>
      <c r="B1419" s="9" t="s">
        <v>3392</v>
      </c>
      <c r="C1419" s="9" t="s">
        <v>2678</v>
      </c>
      <c r="D1419" s="8"/>
      <c r="E1419" s="8"/>
      <c r="F1419" s="9"/>
    </row>
    <row r="1420" spans="1:6" ht="15" customHeight="1" x14ac:dyDescent="0.2">
      <c r="A1420" s="3" t="s">
        <v>3393</v>
      </c>
      <c r="B1420" s="3" t="s">
        <v>3394</v>
      </c>
      <c r="C1420" s="3" t="s">
        <v>2678</v>
      </c>
      <c r="D1420" s="2"/>
      <c r="E1420" s="2"/>
      <c r="F1420" s="3"/>
    </row>
    <row r="1421" spans="1:6" ht="15" customHeight="1" x14ac:dyDescent="0.2">
      <c r="A1421" s="9" t="s">
        <v>3395</v>
      </c>
      <c r="B1421" s="9" t="s">
        <v>3396</v>
      </c>
      <c r="C1421" s="9" t="s">
        <v>2678</v>
      </c>
      <c r="D1421" s="8"/>
      <c r="E1421" s="8"/>
      <c r="F1421" s="9"/>
    </row>
    <row r="1422" spans="1:6" ht="15" customHeight="1" x14ac:dyDescent="0.2">
      <c r="A1422" s="3" t="s">
        <v>3397</v>
      </c>
      <c r="B1422" s="3" t="s">
        <v>3398</v>
      </c>
      <c r="C1422" s="3" t="s">
        <v>2678</v>
      </c>
      <c r="D1422" s="2"/>
      <c r="E1422" s="2"/>
      <c r="F1422" s="3"/>
    </row>
    <row r="1423" spans="1:6" ht="15" customHeight="1" x14ac:dyDescent="0.2">
      <c r="A1423" s="9" t="s">
        <v>3399</v>
      </c>
      <c r="B1423" s="9" t="s">
        <v>3400</v>
      </c>
      <c r="C1423" s="9" t="s">
        <v>2678</v>
      </c>
      <c r="D1423" s="8"/>
      <c r="E1423" s="8"/>
      <c r="F1423" s="9"/>
    </row>
    <row r="1424" spans="1:6" ht="15" customHeight="1" x14ac:dyDescent="0.2">
      <c r="A1424" s="3" t="s">
        <v>3401</v>
      </c>
      <c r="B1424" s="3" t="s">
        <v>3402</v>
      </c>
      <c r="C1424" s="3" t="s">
        <v>2678</v>
      </c>
      <c r="D1424" s="2"/>
      <c r="E1424" s="2"/>
      <c r="F1424" s="3"/>
    </row>
    <row r="1425" spans="1:6" ht="15" customHeight="1" x14ac:dyDescent="0.2">
      <c r="A1425" s="9" t="s">
        <v>3403</v>
      </c>
      <c r="B1425" s="9" t="s">
        <v>3404</v>
      </c>
      <c r="C1425" s="9" t="s">
        <v>2678</v>
      </c>
      <c r="D1425" s="8"/>
      <c r="E1425" s="8"/>
      <c r="F1425" s="9"/>
    </row>
    <row r="1426" spans="1:6" ht="15" customHeight="1" x14ac:dyDescent="0.2">
      <c r="A1426" s="3" t="s">
        <v>3405</v>
      </c>
      <c r="B1426" s="3" t="s">
        <v>3406</v>
      </c>
      <c r="C1426" s="3" t="s">
        <v>2678</v>
      </c>
      <c r="D1426" s="2"/>
      <c r="E1426" s="2"/>
      <c r="F1426" s="3"/>
    </row>
    <row r="1427" spans="1:6" ht="15" customHeight="1" x14ac:dyDescent="0.2">
      <c r="A1427" s="9" t="s">
        <v>3407</v>
      </c>
      <c r="B1427" s="9" t="s">
        <v>3408</v>
      </c>
      <c r="C1427" s="9" t="s">
        <v>2678</v>
      </c>
      <c r="D1427" s="8"/>
      <c r="E1427" s="8"/>
      <c r="F1427" s="9"/>
    </row>
    <row r="1428" spans="1:6" ht="15" customHeight="1" x14ac:dyDescent="0.2">
      <c r="A1428" s="3" t="s">
        <v>3409</v>
      </c>
      <c r="B1428" s="3" t="s">
        <v>3410</v>
      </c>
      <c r="C1428" s="3" t="s">
        <v>2678</v>
      </c>
      <c r="D1428" s="2"/>
      <c r="E1428" s="2"/>
      <c r="F1428" s="3"/>
    </row>
    <row r="1429" spans="1:6" ht="15" customHeight="1" x14ac:dyDescent="0.2">
      <c r="A1429" s="9" t="s">
        <v>3411</v>
      </c>
      <c r="B1429" s="9" t="s">
        <v>3412</v>
      </c>
      <c r="C1429" s="9" t="s">
        <v>2678</v>
      </c>
      <c r="D1429" s="8"/>
      <c r="E1429" s="8"/>
      <c r="F1429" s="9"/>
    </row>
    <row r="1430" spans="1:6" ht="15" customHeight="1" x14ac:dyDescent="0.2">
      <c r="A1430" s="3" t="s">
        <v>3413</v>
      </c>
      <c r="B1430" s="3" t="s">
        <v>3414</v>
      </c>
      <c r="C1430" s="3" t="s">
        <v>2678</v>
      </c>
      <c r="D1430" s="2"/>
      <c r="E1430" s="2"/>
      <c r="F1430" s="3"/>
    </row>
    <row r="1431" spans="1:6" ht="15" customHeight="1" x14ac:dyDescent="0.2">
      <c r="A1431" s="9" t="s">
        <v>3415</v>
      </c>
      <c r="B1431" s="9" t="s">
        <v>3416</v>
      </c>
      <c r="C1431" s="9" t="s">
        <v>2678</v>
      </c>
      <c r="D1431" s="8"/>
      <c r="E1431" s="8"/>
      <c r="F1431" s="9"/>
    </row>
    <row r="1432" spans="1:6" ht="15" customHeight="1" x14ac:dyDescent="0.2">
      <c r="A1432" s="3" t="s">
        <v>3417</v>
      </c>
      <c r="B1432" s="3" t="s">
        <v>3418</v>
      </c>
      <c r="C1432" s="3" t="s">
        <v>2678</v>
      </c>
      <c r="D1432" s="2"/>
      <c r="E1432" s="2"/>
      <c r="F1432" s="3"/>
    </row>
    <row r="1433" spans="1:6" ht="15" customHeight="1" x14ac:dyDescent="0.2">
      <c r="A1433" s="9" t="s">
        <v>3419</v>
      </c>
      <c r="B1433" s="9" t="s">
        <v>3420</v>
      </c>
      <c r="C1433" s="9" t="s">
        <v>2678</v>
      </c>
      <c r="D1433" s="8"/>
      <c r="E1433" s="8"/>
      <c r="F1433" s="9"/>
    </row>
    <row r="1434" spans="1:6" ht="15" customHeight="1" x14ac:dyDescent="0.2">
      <c r="A1434" s="3" t="s">
        <v>3421</v>
      </c>
      <c r="B1434" s="3" t="s">
        <v>3422</v>
      </c>
      <c r="C1434" s="3" t="s">
        <v>2678</v>
      </c>
      <c r="D1434" s="2"/>
      <c r="E1434" s="2"/>
      <c r="F1434" s="3"/>
    </row>
    <row r="1435" spans="1:6" ht="15" customHeight="1" x14ac:dyDescent="0.2">
      <c r="A1435" s="9" t="s">
        <v>3423</v>
      </c>
      <c r="B1435" s="9" t="s">
        <v>3424</v>
      </c>
      <c r="C1435" s="9" t="s">
        <v>2678</v>
      </c>
      <c r="D1435" s="8"/>
      <c r="E1435" s="8"/>
      <c r="F1435" s="9"/>
    </row>
    <row r="1436" spans="1:6" ht="15" customHeight="1" x14ac:dyDescent="0.2">
      <c r="A1436" s="3" t="s">
        <v>3425</v>
      </c>
      <c r="B1436" s="3" t="s">
        <v>3426</v>
      </c>
      <c r="C1436" s="3" t="s">
        <v>2678</v>
      </c>
      <c r="D1436" s="2"/>
      <c r="E1436" s="2"/>
      <c r="F1436" s="3"/>
    </row>
    <row r="1437" spans="1:6" ht="15" customHeight="1" x14ac:dyDescent="0.2">
      <c r="A1437" s="9" t="s">
        <v>3427</v>
      </c>
      <c r="B1437" s="9" t="s">
        <v>3428</v>
      </c>
      <c r="C1437" s="9" t="s">
        <v>2678</v>
      </c>
      <c r="D1437" s="8"/>
      <c r="E1437" s="8"/>
      <c r="F1437" s="9"/>
    </row>
    <row r="1438" spans="1:6" ht="15" customHeight="1" x14ac:dyDescent="0.2">
      <c r="A1438" s="3" t="s">
        <v>3429</v>
      </c>
      <c r="B1438" s="3" t="s">
        <v>3430</v>
      </c>
      <c r="C1438" s="3" t="s">
        <v>2678</v>
      </c>
      <c r="D1438" s="2"/>
      <c r="E1438" s="2"/>
      <c r="F1438" s="3"/>
    </row>
    <row r="1439" spans="1:6" ht="15" customHeight="1" x14ac:dyDescent="0.2">
      <c r="A1439" s="9" t="s">
        <v>3431</v>
      </c>
      <c r="B1439" s="9" t="s">
        <v>3432</v>
      </c>
      <c r="C1439" s="9" t="s">
        <v>2678</v>
      </c>
      <c r="D1439" s="8"/>
      <c r="E1439" s="8"/>
      <c r="F1439" s="9"/>
    </row>
    <row r="1440" spans="1:6" ht="15" customHeight="1" x14ac:dyDescent="0.2">
      <c r="A1440" s="3" t="s">
        <v>3433</v>
      </c>
      <c r="B1440" s="3" t="s">
        <v>3434</v>
      </c>
      <c r="C1440" s="3" t="s">
        <v>2678</v>
      </c>
      <c r="D1440" s="2"/>
      <c r="E1440" s="2"/>
      <c r="F1440" s="3"/>
    </row>
    <row r="1441" spans="1:6" ht="15" customHeight="1" x14ac:dyDescent="0.2">
      <c r="A1441" s="9" t="s">
        <v>3435</v>
      </c>
      <c r="B1441" s="9" t="s">
        <v>3436</v>
      </c>
      <c r="C1441" s="9" t="s">
        <v>2678</v>
      </c>
      <c r="D1441" s="8"/>
      <c r="E1441" s="8"/>
      <c r="F1441" s="9"/>
    </row>
    <row r="1442" spans="1:6" ht="15" customHeight="1" x14ac:dyDescent="0.2">
      <c r="A1442" s="3" t="s">
        <v>3437</v>
      </c>
      <c r="B1442" s="3" t="s">
        <v>3438</v>
      </c>
      <c r="C1442" s="3" t="s">
        <v>2678</v>
      </c>
      <c r="D1442" s="2"/>
      <c r="E1442" s="2"/>
      <c r="F1442" s="3"/>
    </row>
    <row r="1443" spans="1:6" ht="15" customHeight="1" x14ac:dyDescent="0.2">
      <c r="A1443" s="9" t="s">
        <v>3439</v>
      </c>
      <c r="B1443" s="9" t="s">
        <v>3440</v>
      </c>
      <c r="C1443" s="9" t="s">
        <v>2678</v>
      </c>
      <c r="D1443" s="8"/>
      <c r="E1443" s="8"/>
      <c r="F1443" s="9"/>
    </row>
    <row r="1444" spans="1:6" ht="15" customHeight="1" x14ac:dyDescent="0.2">
      <c r="A1444" s="3" t="s">
        <v>3441</v>
      </c>
      <c r="B1444" s="3" t="s">
        <v>3442</v>
      </c>
      <c r="C1444" s="3" t="s">
        <v>2678</v>
      </c>
      <c r="D1444" s="2"/>
      <c r="E1444" s="2"/>
      <c r="F1444" s="3"/>
    </row>
    <row r="1445" spans="1:6" ht="15" customHeight="1" x14ac:dyDescent="0.2">
      <c r="A1445" s="9" t="s">
        <v>3443</v>
      </c>
      <c r="B1445" s="9" t="s">
        <v>3444</v>
      </c>
      <c r="C1445" s="9" t="s">
        <v>2678</v>
      </c>
      <c r="D1445" s="8"/>
      <c r="E1445" s="8"/>
      <c r="F1445" s="9"/>
    </row>
    <row r="1446" spans="1:6" ht="15" customHeight="1" x14ac:dyDescent="0.2">
      <c r="A1446" s="3" t="s">
        <v>3445</v>
      </c>
      <c r="B1446" s="3" t="s">
        <v>3446</v>
      </c>
      <c r="C1446" s="3" t="s">
        <v>2678</v>
      </c>
      <c r="D1446" s="2"/>
      <c r="E1446" s="2"/>
      <c r="F1446" s="3"/>
    </row>
    <row r="1447" spans="1:6" ht="15" customHeight="1" x14ac:dyDescent="0.2">
      <c r="A1447" s="9" t="s">
        <v>3447</v>
      </c>
      <c r="B1447" s="9" t="s">
        <v>3448</v>
      </c>
      <c r="C1447" s="9" t="s">
        <v>2678</v>
      </c>
      <c r="D1447" s="8"/>
      <c r="E1447" s="8"/>
      <c r="F1447" s="9"/>
    </row>
    <row r="1448" spans="1:6" ht="15" customHeight="1" x14ac:dyDescent="0.2">
      <c r="A1448" s="3" t="s">
        <v>3449</v>
      </c>
      <c r="B1448" s="3" t="s">
        <v>3450</v>
      </c>
      <c r="C1448" s="3" t="s">
        <v>2678</v>
      </c>
      <c r="D1448" s="2"/>
      <c r="E1448" s="2"/>
      <c r="F1448" s="3"/>
    </row>
    <row r="1449" spans="1:6" ht="15" customHeight="1" x14ac:dyDescent="0.2">
      <c r="A1449" s="9" t="s">
        <v>3451</v>
      </c>
      <c r="B1449" s="9" t="s">
        <v>3452</v>
      </c>
      <c r="C1449" s="9" t="s">
        <v>2678</v>
      </c>
      <c r="D1449" s="8"/>
      <c r="E1449" s="8"/>
      <c r="F1449" s="9"/>
    </row>
    <row r="1450" spans="1:6" ht="15" customHeight="1" x14ac:dyDescent="0.2">
      <c r="A1450" s="3" t="s">
        <v>3453</v>
      </c>
      <c r="B1450" s="3" t="s">
        <v>3454</v>
      </c>
      <c r="C1450" s="3" t="s">
        <v>2678</v>
      </c>
      <c r="D1450" s="2"/>
      <c r="E1450" s="2"/>
      <c r="F1450" s="3"/>
    </row>
    <row r="1451" spans="1:6" ht="15" customHeight="1" x14ac:dyDescent="0.2">
      <c r="A1451" s="9" t="s">
        <v>3455</v>
      </c>
      <c r="B1451" s="9" t="s">
        <v>3456</v>
      </c>
      <c r="C1451" s="9" t="s">
        <v>2678</v>
      </c>
      <c r="D1451" s="8"/>
      <c r="E1451" s="8"/>
      <c r="F1451" s="9"/>
    </row>
    <row r="1452" spans="1:6" ht="15" customHeight="1" x14ac:dyDescent="0.2">
      <c r="A1452" s="3" t="s">
        <v>3457</v>
      </c>
      <c r="B1452" s="3" t="s">
        <v>3458</v>
      </c>
      <c r="C1452" s="3" t="s">
        <v>2678</v>
      </c>
      <c r="D1452" s="2"/>
      <c r="E1452" s="2"/>
      <c r="F1452" s="3"/>
    </row>
    <row r="1453" spans="1:6" ht="15" customHeight="1" x14ac:dyDescent="0.2">
      <c r="A1453" s="9" t="s">
        <v>3459</v>
      </c>
      <c r="B1453" s="9" t="s">
        <v>3460</v>
      </c>
      <c r="C1453" s="9" t="s">
        <v>2678</v>
      </c>
      <c r="D1453" s="8"/>
      <c r="E1453" s="8"/>
      <c r="F1453" s="9"/>
    </row>
    <row r="1454" spans="1:6" ht="15" customHeight="1" x14ac:dyDescent="0.2">
      <c r="A1454" s="3" t="s">
        <v>3461</v>
      </c>
      <c r="B1454" s="3" t="s">
        <v>3462</v>
      </c>
      <c r="C1454" s="3" t="s">
        <v>2678</v>
      </c>
      <c r="D1454" s="2" t="s">
        <v>836</v>
      </c>
      <c r="E1454" s="2" t="s">
        <v>837</v>
      </c>
      <c r="F1454" s="3" t="s">
        <v>3463</v>
      </c>
    </row>
    <row r="1455" spans="1:6" ht="15" customHeight="1" x14ac:dyDescent="0.2">
      <c r="A1455" s="9" t="s">
        <v>3464</v>
      </c>
      <c r="B1455" s="9" t="s">
        <v>3184</v>
      </c>
      <c r="C1455" s="9" t="s">
        <v>2678</v>
      </c>
      <c r="D1455" s="8"/>
      <c r="E1455" s="8"/>
      <c r="F1455" s="9"/>
    </row>
    <row r="1456" spans="1:6" ht="15" customHeight="1" x14ac:dyDescent="0.2">
      <c r="A1456" s="3" t="s">
        <v>3465</v>
      </c>
      <c r="B1456" s="3" t="s">
        <v>3466</v>
      </c>
      <c r="C1456" s="3" t="s">
        <v>2678</v>
      </c>
      <c r="D1456" s="2"/>
      <c r="E1456" s="2"/>
      <c r="F1456" s="3"/>
    </row>
    <row r="1457" spans="1:6" ht="15" customHeight="1" x14ac:dyDescent="0.2">
      <c r="A1457" s="9" t="s">
        <v>3467</v>
      </c>
      <c r="B1457" s="9" t="s">
        <v>3468</v>
      </c>
      <c r="C1457" s="9" t="s">
        <v>2678</v>
      </c>
      <c r="D1457" s="8"/>
      <c r="E1457" s="8"/>
      <c r="F1457" s="9"/>
    </row>
    <row r="1458" spans="1:6" ht="15" customHeight="1" x14ac:dyDescent="0.2">
      <c r="A1458" s="3" t="s">
        <v>3469</v>
      </c>
      <c r="B1458" s="3" t="s">
        <v>3470</v>
      </c>
      <c r="C1458" s="3" t="s">
        <v>2678</v>
      </c>
      <c r="D1458" s="2"/>
      <c r="E1458" s="2"/>
      <c r="F1458" s="3"/>
    </row>
    <row r="1459" spans="1:6" ht="15" customHeight="1" x14ac:dyDescent="0.2">
      <c r="A1459" s="9" t="s">
        <v>3471</v>
      </c>
      <c r="B1459" s="9" t="s">
        <v>3472</v>
      </c>
      <c r="C1459" s="9" t="s">
        <v>2678</v>
      </c>
      <c r="D1459" s="8"/>
      <c r="E1459" s="8"/>
      <c r="F1459" s="9"/>
    </row>
    <row r="1460" spans="1:6" ht="15" customHeight="1" x14ac:dyDescent="0.2">
      <c r="A1460" s="3" t="s">
        <v>3473</v>
      </c>
      <c r="B1460" s="3" t="s">
        <v>3474</v>
      </c>
      <c r="C1460" s="3" t="s">
        <v>2678</v>
      </c>
      <c r="D1460" s="2"/>
      <c r="E1460" s="2"/>
      <c r="F1460" s="3"/>
    </row>
    <row r="1461" spans="1:6" ht="15" customHeight="1" x14ac:dyDescent="0.2">
      <c r="A1461" s="9" t="s">
        <v>3475</v>
      </c>
      <c r="B1461" s="9" t="s">
        <v>3476</v>
      </c>
      <c r="C1461" s="9" t="s">
        <v>2678</v>
      </c>
      <c r="D1461" s="8"/>
      <c r="E1461" s="8"/>
      <c r="F1461" s="9"/>
    </row>
    <row r="1462" spans="1:6" ht="15" customHeight="1" x14ac:dyDescent="0.2">
      <c r="A1462" s="3" t="s">
        <v>3477</v>
      </c>
      <c r="B1462" s="3" t="s">
        <v>3478</v>
      </c>
      <c r="C1462" s="3" t="s">
        <v>2678</v>
      </c>
      <c r="D1462" s="2"/>
      <c r="E1462" s="2"/>
      <c r="F1462" s="3"/>
    </row>
    <row r="1463" spans="1:6" ht="15" customHeight="1" x14ac:dyDescent="0.2">
      <c r="A1463" s="9" t="s">
        <v>3479</v>
      </c>
      <c r="B1463" s="9" t="s">
        <v>3480</v>
      </c>
      <c r="C1463" s="9" t="s">
        <v>2678</v>
      </c>
      <c r="D1463" s="8"/>
      <c r="E1463" s="8"/>
      <c r="F1463" s="9"/>
    </row>
    <row r="1464" spans="1:6" ht="15" customHeight="1" x14ac:dyDescent="0.2">
      <c r="A1464" s="3" t="s">
        <v>3481</v>
      </c>
      <c r="B1464" s="3" t="s">
        <v>3482</v>
      </c>
      <c r="C1464" s="3" t="s">
        <v>2678</v>
      </c>
      <c r="D1464" s="2"/>
      <c r="E1464" s="2"/>
      <c r="F1464" s="3"/>
    </row>
    <row r="1465" spans="1:6" ht="15" customHeight="1" x14ac:dyDescent="0.2">
      <c r="A1465" s="9" t="s">
        <v>3483</v>
      </c>
      <c r="B1465" s="9" t="s">
        <v>3484</v>
      </c>
      <c r="C1465" s="9" t="s">
        <v>2678</v>
      </c>
      <c r="D1465" s="8"/>
      <c r="E1465" s="8"/>
      <c r="F1465" s="9"/>
    </row>
    <row r="1466" spans="1:6" ht="15" customHeight="1" x14ac:dyDescent="0.2">
      <c r="A1466" s="3" t="s">
        <v>3485</v>
      </c>
      <c r="B1466" s="3" t="s">
        <v>3486</v>
      </c>
      <c r="C1466" s="3" t="s">
        <v>2678</v>
      </c>
      <c r="D1466" s="2"/>
      <c r="E1466" s="2"/>
      <c r="F1466" s="3"/>
    </row>
    <row r="1467" spans="1:6" ht="15" customHeight="1" x14ac:dyDescent="0.2">
      <c r="A1467" s="9" t="s">
        <v>3487</v>
      </c>
      <c r="B1467" s="9" t="s">
        <v>3488</v>
      </c>
      <c r="C1467" s="9" t="s">
        <v>2678</v>
      </c>
      <c r="D1467" s="8"/>
      <c r="E1467" s="8"/>
      <c r="F1467" s="9"/>
    </row>
    <row r="1468" spans="1:6" ht="15" customHeight="1" x14ac:dyDescent="0.2">
      <c r="A1468" s="3" t="s">
        <v>3489</v>
      </c>
      <c r="B1468" s="3" t="s">
        <v>3490</v>
      </c>
      <c r="C1468" s="3" t="s">
        <v>2678</v>
      </c>
      <c r="D1468" s="2"/>
      <c r="E1468" s="2"/>
      <c r="F1468" s="3"/>
    </row>
    <row r="1469" spans="1:6" ht="15" customHeight="1" x14ac:dyDescent="0.2">
      <c r="A1469" s="9" t="s">
        <v>3491</v>
      </c>
      <c r="B1469" s="9" t="s">
        <v>3492</v>
      </c>
      <c r="C1469" s="9" t="s">
        <v>2678</v>
      </c>
      <c r="D1469" s="8"/>
      <c r="E1469" s="8"/>
      <c r="F1469" s="9"/>
    </row>
    <row r="1470" spans="1:6" ht="15" customHeight="1" x14ac:dyDescent="0.2">
      <c r="A1470" s="3" t="s">
        <v>3493</v>
      </c>
      <c r="B1470" s="3" t="s">
        <v>3494</v>
      </c>
      <c r="C1470" s="3" t="s">
        <v>2678</v>
      </c>
      <c r="D1470" s="2"/>
      <c r="E1470" s="2"/>
      <c r="F1470" s="3"/>
    </row>
    <row r="1471" spans="1:6" ht="15" customHeight="1" x14ac:dyDescent="0.2">
      <c r="A1471" s="9" t="s">
        <v>3495</v>
      </c>
      <c r="B1471" s="9" t="s">
        <v>3496</v>
      </c>
      <c r="C1471" s="9" t="s">
        <v>2678</v>
      </c>
      <c r="D1471" s="8"/>
      <c r="E1471" s="8"/>
      <c r="F1471" s="9"/>
    </row>
    <row r="1472" spans="1:6" ht="15" customHeight="1" x14ac:dyDescent="0.2">
      <c r="A1472" s="3" t="s">
        <v>3497</v>
      </c>
      <c r="B1472" s="3" t="s">
        <v>3498</v>
      </c>
      <c r="C1472" s="3" t="s">
        <v>2678</v>
      </c>
      <c r="D1472" s="2"/>
      <c r="E1472" s="2"/>
      <c r="F1472" s="3"/>
    </row>
    <row r="1473" spans="1:6" ht="15" customHeight="1" x14ac:dyDescent="0.2">
      <c r="A1473" s="9" t="s">
        <v>3499</v>
      </c>
      <c r="B1473" s="9" t="s">
        <v>3500</v>
      </c>
      <c r="C1473" s="9" t="s">
        <v>2678</v>
      </c>
      <c r="D1473" s="8"/>
      <c r="E1473" s="8"/>
      <c r="F1473" s="9"/>
    </row>
    <row r="1474" spans="1:6" ht="15" customHeight="1" x14ac:dyDescent="0.2">
      <c r="A1474" s="3" t="s">
        <v>3501</v>
      </c>
      <c r="B1474" s="3" t="s">
        <v>3502</v>
      </c>
      <c r="C1474" s="3" t="s">
        <v>2678</v>
      </c>
      <c r="D1474" s="2"/>
      <c r="E1474" s="2"/>
      <c r="F1474" s="3"/>
    </row>
    <row r="1475" spans="1:6" ht="15" customHeight="1" x14ac:dyDescent="0.2">
      <c r="A1475" s="9" t="s">
        <v>3503</v>
      </c>
      <c r="B1475" s="9" t="s">
        <v>3504</v>
      </c>
      <c r="C1475" s="9" t="s">
        <v>2678</v>
      </c>
      <c r="D1475" s="8"/>
      <c r="E1475" s="8"/>
      <c r="F1475" s="9"/>
    </row>
    <row r="1476" spans="1:6" ht="15" customHeight="1" x14ac:dyDescent="0.2">
      <c r="A1476" s="3" t="s">
        <v>3505</v>
      </c>
      <c r="B1476" s="3" t="s">
        <v>3506</v>
      </c>
      <c r="C1476" s="3" t="s">
        <v>2678</v>
      </c>
      <c r="D1476" s="2"/>
      <c r="E1476" s="2"/>
      <c r="F1476" s="3"/>
    </row>
    <row r="1477" spans="1:6" ht="15" customHeight="1" x14ac:dyDescent="0.2">
      <c r="A1477" s="9" t="s">
        <v>3507</v>
      </c>
      <c r="B1477" s="9" t="s">
        <v>3508</v>
      </c>
      <c r="C1477" s="9" t="s">
        <v>2678</v>
      </c>
      <c r="D1477" s="8"/>
      <c r="E1477" s="8"/>
      <c r="F1477" s="9"/>
    </row>
    <row r="1478" spans="1:6" ht="15" customHeight="1" x14ac:dyDescent="0.2">
      <c r="A1478" s="3" t="s">
        <v>3509</v>
      </c>
      <c r="B1478" s="3" t="s">
        <v>3311</v>
      </c>
      <c r="C1478" s="3" t="s">
        <v>2678</v>
      </c>
      <c r="D1478" s="2"/>
      <c r="E1478" s="2"/>
      <c r="F1478" s="3"/>
    </row>
    <row r="1479" spans="1:6" ht="15" customHeight="1" x14ac:dyDescent="0.2">
      <c r="A1479" s="9" t="s">
        <v>3510</v>
      </c>
      <c r="B1479" s="9" t="s">
        <v>3511</v>
      </c>
      <c r="C1479" s="9" t="s">
        <v>2678</v>
      </c>
      <c r="D1479" s="8"/>
      <c r="E1479" s="8"/>
      <c r="F1479" s="9"/>
    </row>
    <row r="1480" spans="1:6" ht="15" customHeight="1" x14ac:dyDescent="0.2">
      <c r="A1480" s="3" t="s">
        <v>3512</v>
      </c>
      <c r="B1480" s="3" t="s">
        <v>3513</v>
      </c>
      <c r="C1480" s="3" t="s">
        <v>2678</v>
      </c>
      <c r="D1480" s="2"/>
      <c r="E1480" s="2"/>
      <c r="F1480" s="3"/>
    </row>
    <row r="1481" spans="1:6" ht="15" customHeight="1" x14ac:dyDescent="0.2">
      <c r="A1481" s="9" t="s">
        <v>3514</v>
      </c>
      <c r="B1481" s="9" t="s">
        <v>3515</v>
      </c>
      <c r="C1481" s="9" t="s">
        <v>2678</v>
      </c>
      <c r="D1481" s="8"/>
      <c r="E1481" s="8"/>
      <c r="F1481" s="9"/>
    </row>
    <row r="1482" spans="1:6" ht="15" customHeight="1" x14ac:dyDescent="0.2">
      <c r="A1482" s="3" t="s">
        <v>3516</v>
      </c>
      <c r="B1482" s="3" t="s">
        <v>3517</v>
      </c>
      <c r="C1482" s="3" t="s">
        <v>2678</v>
      </c>
      <c r="D1482" s="2"/>
      <c r="E1482" s="2"/>
      <c r="F1482" s="3"/>
    </row>
    <row r="1483" spans="1:6" ht="15" customHeight="1" x14ac:dyDescent="0.2">
      <c r="A1483" s="9" t="s">
        <v>3518</v>
      </c>
      <c r="B1483" s="9" t="s">
        <v>3519</v>
      </c>
      <c r="C1483" s="9" t="s">
        <v>2678</v>
      </c>
      <c r="D1483" s="8"/>
      <c r="E1483" s="8"/>
      <c r="F1483" s="9"/>
    </row>
    <row r="1484" spans="1:6" ht="15" customHeight="1" x14ac:dyDescent="0.2">
      <c r="A1484" s="3" t="s">
        <v>3520</v>
      </c>
      <c r="B1484" s="3" t="s">
        <v>3521</v>
      </c>
      <c r="C1484" s="3" t="s">
        <v>2678</v>
      </c>
      <c r="D1484" s="2"/>
      <c r="E1484" s="2"/>
      <c r="F1484" s="3"/>
    </row>
    <row r="1485" spans="1:6" ht="15" customHeight="1" x14ac:dyDescent="0.2">
      <c r="A1485" s="9" t="s">
        <v>3522</v>
      </c>
      <c r="B1485" s="9" t="s">
        <v>3523</v>
      </c>
      <c r="C1485" s="9" t="s">
        <v>2678</v>
      </c>
      <c r="D1485" s="8"/>
      <c r="E1485" s="8"/>
      <c r="F1485" s="9"/>
    </row>
    <row r="1486" spans="1:6" ht="15" customHeight="1" x14ac:dyDescent="0.2">
      <c r="A1486" s="3" t="s">
        <v>3524</v>
      </c>
      <c r="B1486" s="3" t="s">
        <v>3525</v>
      </c>
      <c r="C1486" s="3" t="s">
        <v>2678</v>
      </c>
      <c r="D1486" s="2"/>
      <c r="E1486" s="2"/>
      <c r="F1486" s="3"/>
    </row>
    <row r="1487" spans="1:6" ht="15" customHeight="1" x14ac:dyDescent="0.2">
      <c r="A1487" s="9" t="s">
        <v>3526</v>
      </c>
      <c r="B1487" s="9" t="s">
        <v>3527</v>
      </c>
      <c r="C1487" s="9" t="s">
        <v>2678</v>
      </c>
      <c r="D1487" s="8"/>
      <c r="E1487" s="8"/>
      <c r="F1487" s="9"/>
    </row>
    <row r="1488" spans="1:6" ht="15" customHeight="1" x14ac:dyDescent="0.2">
      <c r="A1488" s="3" t="s">
        <v>3528</v>
      </c>
      <c r="B1488" s="3" t="s">
        <v>3529</v>
      </c>
      <c r="C1488" s="3" t="s">
        <v>2678</v>
      </c>
      <c r="D1488" s="2"/>
      <c r="E1488" s="2"/>
      <c r="F1488" s="3"/>
    </row>
    <row r="1489" spans="1:6" ht="15" customHeight="1" x14ac:dyDescent="0.2">
      <c r="A1489" s="9" t="s">
        <v>3530</v>
      </c>
      <c r="B1489" s="9" t="s">
        <v>3432</v>
      </c>
      <c r="C1489" s="9" t="s">
        <v>2678</v>
      </c>
      <c r="D1489" s="8"/>
      <c r="E1489" s="8"/>
      <c r="F1489" s="9"/>
    </row>
    <row r="1490" spans="1:6" ht="15" customHeight="1" x14ac:dyDescent="0.2">
      <c r="A1490" s="3" t="s">
        <v>3531</v>
      </c>
      <c r="B1490" s="3" t="s">
        <v>3532</v>
      </c>
      <c r="C1490" s="3" t="s">
        <v>2678</v>
      </c>
      <c r="D1490" s="2"/>
      <c r="E1490" s="2"/>
      <c r="F1490" s="3"/>
    </row>
    <row r="1491" spans="1:6" ht="15" customHeight="1" x14ac:dyDescent="0.2">
      <c r="A1491" s="9" t="s">
        <v>3533</v>
      </c>
      <c r="B1491" s="9" t="s">
        <v>3534</v>
      </c>
      <c r="C1491" s="9" t="s">
        <v>2678</v>
      </c>
      <c r="D1491" s="8"/>
      <c r="E1491" s="8"/>
      <c r="F1491" s="9"/>
    </row>
    <row r="1492" spans="1:6" ht="15" customHeight="1" x14ac:dyDescent="0.2">
      <c r="A1492" s="3" t="s">
        <v>3535</v>
      </c>
      <c r="B1492" s="3" t="s">
        <v>3536</v>
      </c>
      <c r="C1492" s="3" t="s">
        <v>2678</v>
      </c>
      <c r="D1492" s="2"/>
      <c r="E1492" s="2"/>
      <c r="F1492" s="3"/>
    </row>
    <row r="1493" spans="1:6" ht="15" customHeight="1" x14ac:dyDescent="0.2">
      <c r="A1493" s="9" t="s">
        <v>3537</v>
      </c>
      <c r="B1493" s="9" t="s">
        <v>3538</v>
      </c>
      <c r="C1493" s="9" t="s">
        <v>2678</v>
      </c>
      <c r="D1493" s="8"/>
      <c r="E1493" s="8"/>
      <c r="F1493" s="9"/>
    </row>
    <row r="1494" spans="1:6" ht="15" customHeight="1" x14ac:dyDescent="0.2">
      <c r="A1494" s="3" t="s">
        <v>3539</v>
      </c>
      <c r="B1494" s="3" t="s">
        <v>3540</v>
      </c>
      <c r="C1494" s="3" t="s">
        <v>2678</v>
      </c>
      <c r="D1494" s="2"/>
      <c r="E1494" s="2"/>
      <c r="F1494" s="3"/>
    </row>
    <row r="1495" spans="1:6" ht="15" customHeight="1" x14ac:dyDescent="0.2">
      <c r="A1495" s="9" t="s">
        <v>3541</v>
      </c>
      <c r="B1495" s="9" t="s">
        <v>3542</v>
      </c>
      <c r="C1495" s="9" t="s">
        <v>2678</v>
      </c>
      <c r="D1495" s="8"/>
      <c r="E1495" s="8"/>
      <c r="F1495" s="9"/>
    </row>
    <row r="1496" spans="1:6" ht="15" customHeight="1" x14ac:dyDescent="0.2">
      <c r="A1496" s="3" t="s">
        <v>3543</v>
      </c>
      <c r="B1496" s="3" t="s">
        <v>3544</v>
      </c>
      <c r="C1496" s="3" t="s">
        <v>2678</v>
      </c>
      <c r="D1496" s="2"/>
      <c r="E1496" s="2"/>
      <c r="F1496" s="3"/>
    </row>
    <row r="1497" spans="1:6" ht="15" customHeight="1" x14ac:dyDescent="0.2">
      <c r="A1497" s="9" t="s">
        <v>3545</v>
      </c>
      <c r="B1497" s="9" t="s">
        <v>3546</v>
      </c>
      <c r="C1497" s="9" t="s">
        <v>2678</v>
      </c>
      <c r="D1497" s="8"/>
      <c r="E1497" s="8"/>
      <c r="F1497" s="9"/>
    </row>
    <row r="1498" spans="1:6" ht="15" customHeight="1" x14ac:dyDescent="0.2">
      <c r="A1498" s="3" t="s">
        <v>3547</v>
      </c>
      <c r="B1498" s="3" t="s">
        <v>3548</v>
      </c>
      <c r="C1498" s="3" t="s">
        <v>2678</v>
      </c>
      <c r="D1498" s="2"/>
      <c r="E1498" s="2"/>
      <c r="F1498" s="3"/>
    </row>
    <row r="1499" spans="1:6" ht="15" customHeight="1" x14ac:dyDescent="0.2">
      <c r="A1499" s="9" t="s">
        <v>3549</v>
      </c>
      <c r="B1499" s="9" t="s">
        <v>3550</v>
      </c>
      <c r="C1499" s="9" t="s">
        <v>2678</v>
      </c>
      <c r="D1499" s="8"/>
      <c r="E1499" s="8"/>
      <c r="F1499" s="9"/>
    </row>
    <row r="1500" spans="1:6" ht="15" customHeight="1" x14ac:dyDescent="0.2">
      <c r="A1500" s="3" t="s">
        <v>3551</v>
      </c>
      <c r="B1500" s="3" t="s">
        <v>3552</v>
      </c>
      <c r="C1500" s="3" t="s">
        <v>2678</v>
      </c>
      <c r="D1500" s="2"/>
      <c r="E1500" s="2"/>
      <c r="F1500" s="3"/>
    </row>
    <row r="1501" spans="1:6" ht="15" customHeight="1" x14ac:dyDescent="0.2">
      <c r="A1501" s="9" t="s">
        <v>3553</v>
      </c>
      <c r="B1501" s="9" t="s">
        <v>3554</v>
      </c>
      <c r="C1501" s="9" t="s">
        <v>2678</v>
      </c>
      <c r="D1501" s="8"/>
      <c r="E1501" s="8"/>
      <c r="F1501" s="9"/>
    </row>
    <row r="1502" spans="1:6" ht="15" customHeight="1" x14ac:dyDescent="0.2">
      <c r="A1502" s="3" t="s">
        <v>3555</v>
      </c>
      <c r="B1502" s="3" t="s">
        <v>3556</v>
      </c>
      <c r="C1502" s="3" t="s">
        <v>2678</v>
      </c>
      <c r="D1502" s="2"/>
      <c r="E1502" s="2"/>
      <c r="F1502" s="3"/>
    </row>
    <row r="1503" spans="1:6" ht="15" customHeight="1" x14ac:dyDescent="0.2">
      <c r="A1503" s="9" t="s">
        <v>3557</v>
      </c>
      <c r="B1503" s="9" t="s">
        <v>3558</v>
      </c>
      <c r="C1503" s="9" t="s">
        <v>2678</v>
      </c>
      <c r="D1503" s="8"/>
      <c r="E1503" s="8"/>
      <c r="F1503" s="9"/>
    </row>
    <row r="1504" spans="1:6" ht="15" customHeight="1" x14ac:dyDescent="0.2">
      <c r="A1504" s="3" t="s">
        <v>3559</v>
      </c>
      <c r="B1504" s="3" t="s">
        <v>3560</v>
      </c>
      <c r="C1504" s="3" t="s">
        <v>2678</v>
      </c>
      <c r="D1504" s="2"/>
      <c r="E1504" s="2"/>
      <c r="F1504" s="3"/>
    </row>
    <row r="1505" spans="1:6" ht="15" customHeight="1" x14ac:dyDescent="0.2">
      <c r="A1505" s="9" t="s">
        <v>3561</v>
      </c>
      <c r="B1505" s="9" t="s">
        <v>3562</v>
      </c>
      <c r="C1505" s="9" t="s">
        <v>2678</v>
      </c>
      <c r="D1505" s="8"/>
      <c r="E1505" s="8"/>
      <c r="F1505" s="9"/>
    </row>
    <row r="1506" spans="1:6" ht="15" customHeight="1" x14ac:dyDescent="0.2">
      <c r="A1506" s="3" t="s">
        <v>3563</v>
      </c>
      <c r="B1506" s="3" t="s">
        <v>3564</v>
      </c>
      <c r="C1506" s="3" t="s">
        <v>2678</v>
      </c>
      <c r="D1506" s="2"/>
      <c r="E1506" s="2"/>
      <c r="F1506" s="3"/>
    </row>
    <row r="1507" spans="1:6" ht="15" customHeight="1" x14ac:dyDescent="0.2">
      <c r="A1507" s="9" t="s">
        <v>3565</v>
      </c>
      <c r="B1507" s="9" t="s">
        <v>3566</v>
      </c>
      <c r="C1507" s="9" t="s">
        <v>2678</v>
      </c>
      <c r="D1507" s="8"/>
      <c r="E1507" s="8"/>
      <c r="F1507" s="9"/>
    </row>
    <row r="1508" spans="1:6" ht="15" customHeight="1" x14ac:dyDescent="0.2">
      <c r="A1508" s="3" t="s">
        <v>3567</v>
      </c>
      <c r="B1508" s="3" t="s">
        <v>3568</v>
      </c>
      <c r="C1508" s="3" t="s">
        <v>2678</v>
      </c>
      <c r="D1508" s="2"/>
      <c r="E1508" s="2"/>
      <c r="F1508" s="3"/>
    </row>
    <row r="1509" spans="1:6" ht="15" customHeight="1" x14ac:dyDescent="0.2">
      <c r="A1509" s="9" t="s">
        <v>3569</v>
      </c>
      <c r="B1509" s="9" t="s">
        <v>3570</v>
      </c>
      <c r="C1509" s="9" t="s">
        <v>2678</v>
      </c>
      <c r="D1509" s="8"/>
      <c r="E1509" s="8"/>
      <c r="F1509" s="9"/>
    </row>
    <row r="1510" spans="1:6" ht="15" customHeight="1" x14ac:dyDescent="0.2">
      <c r="A1510" s="3" t="s">
        <v>3571</v>
      </c>
      <c r="B1510" s="3" t="s">
        <v>3572</v>
      </c>
      <c r="C1510" s="3" t="s">
        <v>2678</v>
      </c>
      <c r="D1510" s="2"/>
      <c r="E1510" s="2"/>
      <c r="F1510" s="3"/>
    </row>
    <row r="1511" spans="1:6" ht="15" customHeight="1" x14ac:dyDescent="0.2">
      <c r="A1511" s="9" t="s">
        <v>3573</v>
      </c>
      <c r="B1511" s="9" t="s">
        <v>3574</v>
      </c>
      <c r="C1511" s="9" t="s">
        <v>2678</v>
      </c>
      <c r="D1511" s="8"/>
      <c r="E1511" s="8"/>
      <c r="F1511" s="9"/>
    </row>
    <row r="1512" spans="1:6" ht="15" customHeight="1" x14ac:dyDescent="0.2">
      <c r="A1512" s="3" t="s">
        <v>3575</v>
      </c>
      <c r="B1512" s="3" t="s">
        <v>3576</v>
      </c>
      <c r="C1512" s="3" t="s">
        <v>2678</v>
      </c>
      <c r="D1512" s="2"/>
      <c r="E1512" s="2"/>
      <c r="F1512" s="3"/>
    </row>
    <row r="1513" spans="1:6" ht="15" customHeight="1" x14ac:dyDescent="0.2">
      <c r="A1513" s="9" t="s">
        <v>3577</v>
      </c>
      <c r="B1513" s="9" t="s">
        <v>3578</v>
      </c>
      <c r="C1513" s="9" t="s">
        <v>2678</v>
      </c>
      <c r="D1513" s="8"/>
      <c r="E1513" s="8"/>
      <c r="F1513" s="9"/>
    </row>
    <row r="1514" spans="1:6" ht="15" customHeight="1" x14ac:dyDescent="0.2">
      <c r="A1514" s="3" t="s">
        <v>3579</v>
      </c>
      <c r="B1514" s="3" t="s">
        <v>3580</v>
      </c>
      <c r="C1514" s="3" t="s">
        <v>2678</v>
      </c>
      <c r="D1514" s="2"/>
      <c r="E1514" s="2"/>
      <c r="F1514" s="3"/>
    </row>
    <row r="1515" spans="1:6" ht="15" customHeight="1" x14ac:dyDescent="0.2">
      <c r="A1515" s="9" t="s">
        <v>3581</v>
      </c>
      <c r="B1515" s="9" t="s">
        <v>3582</v>
      </c>
      <c r="C1515" s="9" t="s">
        <v>2678</v>
      </c>
      <c r="D1515" s="8"/>
      <c r="E1515" s="8"/>
      <c r="F1515" s="9"/>
    </row>
    <row r="1516" spans="1:6" ht="15" customHeight="1" x14ac:dyDescent="0.2">
      <c r="A1516" s="3" t="s">
        <v>3583</v>
      </c>
      <c r="B1516" s="3" t="s">
        <v>3584</v>
      </c>
      <c r="C1516" s="3" t="s">
        <v>2678</v>
      </c>
      <c r="D1516" s="2"/>
      <c r="E1516" s="2"/>
      <c r="F1516" s="3"/>
    </row>
    <row r="1517" spans="1:6" ht="15" customHeight="1" x14ac:dyDescent="0.2">
      <c r="A1517" s="9" t="s">
        <v>3585</v>
      </c>
      <c r="B1517" s="9" t="s">
        <v>3586</v>
      </c>
      <c r="C1517" s="9" t="s">
        <v>2678</v>
      </c>
      <c r="D1517" s="8"/>
      <c r="E1517" s="8"/>
      <c r="F1517" s="9"/>
    </row>
    <row r="1518" spans="1:6" ht="15" customHeight="1" x14ac:dyDescent="0.2">
      <c r="A1518" s="3" t="s">
        <v>3587</v>
      </c>
      <c r="B1518" s="3" t="s">
        <v>3568</v>
      </c>
      <c r="C1518" s="3" t="s">
        <v>2678</v>
      </c>
      <c r="D1518" s="2"/>
      <c r="E1518" s="2"/>
      <c r="F1518" s="3"/>
    </row>
    <row r="1519" spans="1:6" ht="15" customHeight="1" x14ac:dyDescent="0.2">
      <c r="A1519" s="9" t="s">
        <v>3588</v>
      </c>
      <c r="B1519" s="9" t="s">
        <v>3589</v>
      </c>
      <c r="C1519" s="9" t="s">
        <v>2678</v>
      </c>
      <c r="D1519" s="8"/>
      <c r="E1519" s="8"/>
      <c r="F1519" s="9"/>
    </row>
    <row r="1520" spans="1:6" ht="15" customHeight="1" x14ac:dyDescent="0.2">
      <c r="A1520" s="3" t="s">
        <v>3590</v>
      </c>
      <c r="B1520" s="3" t="s">
        <v>3591</v>
      </c>
      <c r="C1520" s="3" t="s">
        <v>2678</v>
      </c>
      <c r="D1520" s="2"/>
      <c r="E1520" s="2"/>
      <c r="F1520" s="3"/>
    </row>
    <row r="1521" spans="1:6" ht="15" customHeight="1" x14ac:dyDescent="0.2">
      <c r="A1521" s="9" t="s">
        <v>3592</v>
      </c>
      <c r="B1521" s="9" t="s">
        <v>3593</v>
      </c>
      <c r="C1521" s="9" t="s">
        <v>2678</v>
      </c>
      <c r="D1521" s="8"/>
      <c r="E1521" s="8"/>
      <c r="F1521" s="9"/>
    </row>
    <row r="1522" spans="1:6" ht="15" customHeight="1" x14ac:dyDescent="0.2">
      <c r="A1522" s="3" t="s">
        <v>3594</v>
      </c>
      <c r="B1522" s="3" t="s">
        <v>3595</v>
      </c>
      <c r="C1522" s="3" t="s">
        <v>2678</v>
      </c>
      <c r="D1522" s="2"/>
      <c r="E1522" s="2"/>
      <c r="F1522" s="3"/>
    </row>
    <row r="1523" spans="1:6" ht="15" customHeight="1" x14ac:dyDescent="0.2">
      <c r="A1523" s="9" t="s">
        <v>3596</v>
      </c>
      <c r="B1523" s="9" t="s">
        <v>3081</v>
      </c>
      <c r="C1523" s="9" t="s">
        <v>2678</v>
      </c>
      <c r="D1523" s="8"/>
      <c r="E1523" s="8"/>
      <c r="F1523" s="9"/>
    </row>
    <row r="1524" spans="1:6" ht="15" customHeight="1" x14ac:dyDescent="0.2">
      <c r="A1524" s="3" t="s">
        <v>3597</v>
      </c>
      <c r="B1524" s="3" t="s">
        <v>3598</v>
      </c>
      <c r="C1524" s="3" t="s">
        <v>2678</v>
      </c>
      <c r="D1524" s="2"/>
      <c r="E1524" s="2"/>
      <c r="F1524" s="3"/>
    </row>
    <row r="1525" spans="1:6" ht="15" customHeight="1" x14ac:dyDescent="0.2">
      <c r="A1525" s="9" t="s">
        <v>3599</v>
      </c>
      <c r="B1525" s="9" t="s">
        <v>3600</v>
      </c>
      <c r="C1525" s="9" t="s">
        <v>2678</v>
      </c>
      <c r="D1525" s="8"/>
      <c r="E1525" s="8"/>
      <c r="F1525" s="9"/>
    </row>
    <row r="1526" spans="1:6" ht="15" customHeight="1" x14ac:dyDescent="0.2">
      <c r="A1526" s="3" t="s">
        <v>3601</v>
      </c>
      <c r="B1526" s="3" t="s">
        <v>3602</v>
      </c>
      <c r="C1526" s="3" t="s">
        <v>2678</v>
      </c>
      <c r="D1526" s="2"/>
      <c r="E1526" s="2"/>
      <c r="F1526" s="3"/>
    </row>
    <row r="1527" spans="1:6" ht="15" customHeight="1" x14ac:dyDescent="0.2">
      <c r="A1527" s="9" t="s">
        <v>3603</v>
      </c>
      <c r="B1527" s="9" t="s">
        <v>3604</v>
      </c>
      <c r="C1527" s="9" t="s">
        <v>2678</v>
      </c>
      <c r="D1527" s="8"/>
      <c r="E1527" s="8"/>
      <c r="F1527" s="9"/>
    </row>
    <row r="1528" spans="1:6" ht="15" customHeight="1" x14ac:dyDescent="0.2">
      <c r="A1528" s="3" t="s">
        <v>3605</v>
      </c>
      <c r="B1528" s="3" t="s">
        <v>3606</v>
      </c>
      <c r="C1528" s="3" t="s">
        <v>2678</v>
      </c>
      <c r="D1528" s="2"/>
      <c r="E1528" s="2"/>
      <c r="F1528" s="3"/>
    </row>
    <row r="1529" spans="1:6" ht="15" customHeight="1" x14ac:dyDescent="0.2">
      <c r="A1529" s="9" t="s">
        <v>3607</v>
      </c>
      <c r="B1529" s="9" t="s">
        <v>3608</v>
      </c>
      <c r="C1529" s="9" t="s">
        <v>2678</v>
      </c>
      <c r="D1529" s="8"/>
      <c r="E1529" s="8"/>
      <c r="F1529" s="9"/>
    </row>
    <row r="1530" spans="1:6" ht="15" customHeight="1" x14ac:dyDescent="0.2">
      <c r="A1530" s="3" t="s">
        <v>3609</v>
      </c>
      <c r="B1530" s="3" t="s">
        <v>3610</v>
      </c>
      <c r="C1530" s="3" t="s">
        <v>2678</v>
      </c>
      <c r="D1530" s="2"/>
      <c r="E1530" s="2"/>
      <c r="F1530" s="3"/>
    </row>
    <row r="1531" spans="1:6" ht="15" customHeight="1" x14ac:dyDescent="0.2">
      <c r="A1531" s="9" t="s">
        <v>3611</v>
      </c>
      <c r="B1531" s="9" t="s">
        <v>3612</v>
      </c>
      <c r="C1531" s="9" t="s">
        <v>2678</v>
      </c>
      <c r="D1531" s="8"/>
      <c r="E1531" s="8"/>
      <c r="F1531" s="9"/>
    </row>
    <row r="1532" spans="1:6" ht="15" customHeight="1" x14ac:dyDescent="0.2">
      <c r="A1532" s="3" t="s">
        <v>3613</v>
      </c>
      <c r="B1532" s="3" t="s">
        <v>3614</v>
      </c>
      <c r="C1532" s="3" t="s">
        <v>2678</v>
      </c>
      <c r="D1532" s="2"/>
      <c r="E1532" s="2"/>
      <c r="F1532" s="3"/>
    </row>
    <row r="1533" spans="1:6" ht="15" customHeight="1" x14ac:dyDescent="0.2">
      <c r="A1533" s="9" t="s">
        <v>3615</v>
      </c>
      <c r="B1533" s="9" t="s">
        <v>3616</v>
      </c>
      <c r="C1533" s="9" t="s">
        <v>2678</v>
      </c>
      <c r="D1533" s="8"/>
      <c r="E1533" s="8"/>
      <c r="F1533" s="9"/>
    </row>
    <row r="1534" spans="1:6" ht="15" customHeight="1" x14ac:dyDescent="0.2">
      <c r="A1534" s="3" t="s">
        <v>3617</v>
      </c>
      <c r="B1534" s="3" t="s">
        <v>3476</v>
      </c>
      <c r="C1534" s="3" t="s">
        <v>2678</v>
      </c>
      <c r="D1534" s="2"/>
      <c r="E1534" s="2"/>
      <c r="F1534" s="3"/>
    </row>
    <row r="1535" spans="1:6" ht="15" customHeight="1" x14ac:dyDescent="0.2">
      <c r="A1535" s="9" t="s">
        <v>3618</v>
      </c>
      <c r="B1535" s="9" t="s">
        <v>3619</v>
      </c>
      <c r="C1535" s="9" t="s">
        <v>2678</v>
      </c>
      <c r="D1535" s="8"/>
      <c r="E1535" s="8"/>
      <c r="F1535" s="9"/>
    </row>
    <row r="1536" spans="1:6" ht="15" customHeight="1" x14ac:dyDescent="0.2">
      <c r="A1536" s="3" t="s">
        <v>3620</v>
      </c>
      <c r="B1536" s="3" t="s">
        <v>3621</v>
      </c>
      <c r="C1536" s="3" t="s">
        <v>2678</v>
      </c>
      <c r="D1536" s="2"/>
      <c r="E1536" s="2"/>
      <c r="F1536" s="3"/>
    </row>
    <row r="1537" spans="1:6" ht="15" customHeight="1" x14ac:dyDescent="0.2">
      <c r="A1537" s="9" t="s">
        <v>3622</v>
      </c>
      <c r="B1537" s="9" t="s">
        <v>3623</v>
      </c>
      <c r="C1537" s="9" t="s">
        <v>2678</v>
      </c>
      <c r="D1537" s="8"/>
      <c r="E1537" s="8"/>
      <c r="F1537" s="9"/>
    </row>
    <row r="1538" spans="1:6" ht="15" customHeight="1" x14ac:dyDescent="0.2">
      <c r="A1538" s="3" t="s">
        <v>3624</v>
      </c>
      <c r="B1538" s="3" t="s">
        <v>3625</v>
      </c>
      <c r="C1538" s="3" t="s">
        <v>2678</v>
      </c>
      <c r="D1538" s="2"/>
      <c r="E1538" s="2"/>
      <c r="F1538" s="3"/>
    </row>
    <row r="1539" spans="1:6" ht="15" customHeight="1" x14ac:dyDescent="0.2">
      <c r="A1539" s="9" t="s">
        <v>3626</v>
      </c>
      <c r="B1539" s="9" t="s">
        <v>3627</v>
      </c>
      <c r="C1539" s="9" t="s">
        <v>2678</v>
      </c>
      <c r="D1539" s="8"/>
      <c r="E1539" s="8"/>
      <c r="F1539" s="9"/>
    </row>
    <row r="1540" spans="1:6" ht="15" customHeight="1" x14ac:dyDescent="0.2">
      <c r="A1540" s="3" t="s">
        <v>3628</v>
      </c>
      <c r="B1540" s="3" t="s">
        <v>3629</v>
      </c>
      <c r="C1540" s="3" t="s">
        <v>2678</v>
      </c>
      <c r="D1540" s="2"/>
      <c r="E1540" s="2"/>
      <c r="F1540" s="3"/>
    </row>
    <row r="1541" spans="1:6" ht="15" customHeight="1" x14ac:dyDescent="0.2">
      <c r="A1541" s="9" t="s">
        <v>3630</v>
      </c>
      <c r="B1541" s="9" t="s">
        <v>3631</v>
      </c>
      <c r="C1541" s="9" t="s">
        <v>2678</v>
      </c>
      <c r="D1541" s="8"/>
      <c r="E1541" s="8"/>
      <c r="F1541" s="9"/>
    </row>
    <row r="1542" spans="1:6" ht="15" customHeight="1" x14ac:dyDescent="0.2">
      <c r="A1542" s="3" t="s">
        <v>3632</v>
      </c>
      <c r="B1542" s="3" t="s">
        <v>3633</v>
      </c>
      <c r="C1542" s="3" t="s">
        <v>2678</v>
      </c>
      <c r="D1542" s="2"/>
      <c r="E1542" s="2"/>
      <c r="F1542" s="3"/>
    </row>
    <row r="1543" spans="1:6" ht="15" customHeight="1" x14ac:dyDescent="0.2">
      <c r="A1543" s="9" t="s">
        <v>3634</v>
      </c>
      <c r="B1543" s="9" t="s">
        <v>3635</v>
      </c>
      <c r="C1543" s="9" t="s">
        <v>2678</v>
      </c>
      <c r="D1543" s="8"/>
      <c r="E1543" s="8"/>
      <c r="F1543" s="9"/>
    </row>
    <row r="1544" spans="1:6" ht="15" customHeight="1" x14ac:dyDescent="0.2">
      <c r="A1544" s="3" t="s">
        <v>3636</v>
      </c>
      <c r="B1544" s="3" t="s">
        <v>3637</v>
      </c>
      <c r="C1544" s="3" t="s">
        <v>2678</v>
      </c>
      <c r="D1544" s="2"/>
      <c r="E1544" s="2"/>
      <c r="F1544" s="3"/>
    </row>
    <row r="1545" spans="1:6" ht="15" customHeight="1" x14ac:dyDescent="0.2">
      <c r="A1545" s="9" t="s">
        <v>3638</v>
      </c>
      <c r="B1545" s="9" t="s">
        <v>3639</v>
      </c>
      <c r="C1545" s="9" t="s">
        <v>2678</v>
      </c>
      <c r="D1545" s="8"/>
      <c r="E1545" s="8"/>
      <c r="F1545" s="9"/>
    </row>
    <row r="1546" spans="1:6" ht="15" customHeight="1" x14ac:dyDescent="0.2">
      <c r="A1546" s="3" t="s">
        <v>3640</v>
      </c>
      <c r="B1546" s="3" t="s">
        <v>3641</v>
      </c>
      <c r="C1546" s="3" t="s">
        <v>2678</v>
      </c>
      <c r="D1546" s="2"/>
      <c r="E1546" s="2"/>
      <c r="F1546" s="3"/>
    </row>
    <row r="1547" spans="1:6" ht="15" customHeight="1" x14ac:dyDescent="0.2">
      <c r="A1547" s="9" t="s">
        <v>3642</v>
      </c>
      <c r="B1547" s="9" t="s">
        <v>3643</v>
      </c>
      <c r="C1547" s="9" t="s">
        <v>2678</v>
      </c>
      <c r="D1547" s="8"/>
      <c r="E1547" s="8"/>
      <c r="F1547" s="9"/>
    </row>
    <row r="1548" spans="1:6" ht="15" customHeight="1" x14ac:dyDescent="0.2">
      <c r="A1548" s="3" t="s">
        <v>3644</v>
      </c>
      <c r="B1548" s="3" t="s">
        <v>3645</v>
      </c>
      <c r="C1548" s="3" t="s">
        <v>2678</v>
      </c>
      <c r="D1548" s="2"/>
      <c r="E1548" s="2"/>
      <c r="F1548" s="3"/>
    </row>
    <row r="1549" spans="1:6" ht="15" customHeight="1" x14ac:dyDescent="0.2">
      <c r="A1549" s="9" t="s">
        <v>3646</v>
      </c>
      <c r="B1549" s="9" t="s">
        <v>3647</v>
      </c>
      <c r="C1549" s="9" t="s">
        <v>2678</v>
      </c>
      <c r="D1549" s="8"/>
      <c r="E1549" s="8"/>
      <c r="F1549" s="9"/>
    </row>
    <row r="1550" spans="1:6" ht="15" customHeight="1" x14ac:dyDescent="0.2">
      <c r="A1550" s="3" t="s">
        <v>3648</v>
      </c>
      <c r="B1550" s="3" t="s">
        <v>3649</v>
      </c>
      <c r="C1550" s="3" t="s">
        <v>2678</v>
      </c>
      <c r="D1550" s="2"/>
      <c r="E1550" s="2"/>
      <c r="F1550" s="3"/>
    </row>
    <row r="1551" spans="1:6" ht="15" customHeight="1" x14ac:dyDescent="0.2">
      <c r="A1551" s="9" t="s">
        <v>3650</v>
      </c>
      <c r="B1551" s="9" t="s">
        <v>3651</v>
      </c>
      <c r="C1551" s="9" t="s">
        <v>2678</v>
      </c>
      <c r="D1551" s="8"/>
      <c r="E1551" s="8"/>
      <c r="F1551" s="9"/>
    </row>
    <row r="1552" spans="1:6" ht="15" customHeight="1" x14ac:dyDescent="0.2">
      <c r="A1552" s="3" t="s">
        <v>3652</v>
      </c>
      <c r="B1552" s="3" t="s">
        <v>3653</v>
      </c>
      <c r="C1552" s="3" t="s">
        <v>2678</v>
      </c>
      <c r="D1552" s="2"/>
      <c r="E1552" s="2"/>
      <c r="F1552" s="3"/>
    </row>
    <row r="1553" spans="1:6" ht="15" customHeight="1" x14ac:dyDescent="0.2">
      <c r="A1553" s="9" t="s">
        <v>3654</v>
      </c>
      <c r="B1553" s="9" t="s">
        <v>3655</v>
      </c>
      <c r="C1553" s="9" t="s">
        <v>2678</v>
      </c>
      <c r="D1553" s="8"/>
      <c r="E1553" s="8"/>
      <c r="F1553" s="9"/>
    </row>
    <row r="1554" spans="1:6" ht="15" customHeight="1" x14ac:dyDescent="0.2">
      <c r="A1554" s="3" t="s">
        <v>3656</v>
      </c>
      <c r="B1554" s="3" t="s">
        <v>3657</v>
      </c>
      <c r="C1554" s="3" t="s">
        <v>2678</v>
      </c>
      <c r="D1554" s="2"/>
      <c r="E1554" s="2"/>
      <c r="F1554" s="3"/>
    </row>
    <row r="1555" spans="1:6" ht="15" customHeight="1" x14ac:dyDescent="0.2">
      <c r="A1555" s="9" t="s">
        <v>3658</v>
      </c>
      <c r="B1555" s="9" t="s">
        <v>3659</v>
      </c>
      <c r="C1555" s="9" t="s">
        <v>2678</v>
      </c>
      <c r="D1555" s="8"/>
      <c r="E1555" s="8"/>
      <c r="F1555" s="9"/>
    </row>
    <row r="1556" spans="1:6" ht="15" customHeight="1" x14ac:dyDescent="0.2">
      <c r="A1556" s="3" t="s">
        <v>3660</v>
      </c>
      <c r="B1556" s="3" t="s">
        <v>3661</v>
      </c>
      <c r="C1556" s="3" t="s">
        <v>2678</v>
      </c>
      <c r="D1556" s="2"/>
      <c r="E1556" s="2"/>
      <c r="F1556" s="3"/>
    </row>
    <row r="1557" spans="1:6" ht="15" customHeight="1" x14ac:dyDescent="0.2">
      <c r="A1557" s="9" t="s">
        <v>3662</v>
      </c>
      <c r="B1557" s="9" t="s">
        <v>3663</v>
      </c>
      <c r="C1557" s="9" t="s">
        <v>2678</v>
      </c>
      <c r="D1557" s="8"/>
      <c r="E1557" s="8"/>
      <c r="F1557" s="9"/>
    </row>
    <row r="1558" spans="1:6" ht="15" customHeight="1" x14ac:dyDescent="0.2">
      <c r="A1558" s="3" t="s">
        <v>3664</v>
      </c>
      <c r="B1558" s="3" t="s">
        <v>3665</v>
      </c>
      <c r="C1558" s="3" t="s">
        <v>2678</v>
      </c>
      <c r="D1558" s="2" t="s">
        <v>836</v>
      </c>
      <c r="E1558" s="2" t="s">
        <v>3666</v>
      </c>
      <c r="F1558" s="3" t="s">
        <v>3667</v>
      </c>
    </row>
    <row r="1559" spans="1:6" ht="15" customHeight="1" x14ac:dyDescent="0.2">
      <c r="A1559" s="9" t="s">
        <v>3668</v>
      </c>
      <c r="B1559" s="9" t="s">
        <v>3669</v>
      </c>
      <c r="C1559" s="9" t="s">
        <v>2678</v>
      </c>
      <c r="D1559" s="8"/>
      <c r="E1559" s="8"/>
      <c r="F1559" s="9"/>
    </row>
    <row r="1560" spans="1:6" ht="15" customHeight="1" x14ac:dyDescent="0.2">
      <c r="A1560" s="3" t="s">
        <v>3670</v>
      </c>
      <c r="B1560" s="3" t="s">
        <v>3454</v>
      </c>
      <c r="C1560" s="3" t="s">
        <v>2678</v>
      </c>
      <c r="D1560" s="2"/>
      <c r="E1560" s="2"/>
      <c r="F1560" s="3"/>
    </row>
    <row r="1561" spans="1:6" ht="15" customHeight="1" x14ac:dyDescent="0.2">
      <c r="A1561" s="9" t="s">
        <v>3671</v>
      </c>
      <c r="B1561" s="9" t="s">
        <v>3672</v>
      </c>
      <c r="C1561" s="9" t="s">
        <v>2678</v>
      </c>
      <c r="D1561" s="8"/>
      <c r="E1561" s="8"/>
      <c r="F1561" s="9"/>
    </row>
    <row r="1562" spans="1:6" ht="15" customHeight="1" x14ac:dyDescent="0.2">
      <c r="A1562" s="3" t="s">
        <v>3673</v>
      </c>
      <c r="B1562" s="3" t="s">
        <v>3674</v>
      </c>
      <c r="C1562" s="3" t="s">
        <v>2678</v>
      </c>
      <c r="D1562" s="2"/>
      <c r="E1562" s="2"/>
      <c r="F1562" s="3"/>
    </row>
    <row r="1563" spans="1:6" ht="15" customHeight="1" x14ac:dyDescent="0.2">
      <c r="A1563" s="9" t="s">
        <v>3675</v>
      </c>
      <c r="B1563" s="9" t="s">
        <v>3676</v>
      </c>
      <c r="C1563" s="9" t="s">
        <v>2678</v>
      </c>
      <c r="D1563" s="8"/>
      <c r="E1563" s="8"/>
      <c r="F1563" s="9"/>
    </row>
    <row r="1564" spans="1:6" ht="15" customHeight="1" x14ac:dyDescent="0.2">
      <c r="A1564" s="3" t="s">
        <v>3677</v>
      </c>
      <c r="B1564" s="3" t="s">
        <v>3678</v>
      </c>
      <c r="C1564" s="3" t="s">
        <v>2678</v>
      </c>
      <c r="D1564" s="2"/>
      <c r="E1564" s="2"/>
      <c r="F1564" s="3"/>
    </row>
    <row r="1565" spans="1:6" ht="15" customHeight="1" x14ac:dyDescent="0.2">
      <c r="A1565" s="9" t="s">
        <v>3679</v>
      </c>
      <c r="B1565" s="9" t="s">
        <v>3680</v>
      </c>
      <c r="C1565" s="9" t="s">
        <v>2678</v>
      </c>
      <c r="D1565" s="8"/>
      <c r="E1565" s="8"/>
      <c r="F1565" s="9"/>
    </row>
    <row r="1566" spans="1:6" ht="15" customHeight="1" x14ac:dyDescent="0.2">
      <c r="A1566" s="3" t="s">
        <v>3681</v>
      </c>
      <c r="B1566" s="3" t="s">
        <v>3682</v>
      </c>
      <c r="C1566" s="3" t="s">
        <v>2678</v>
      </c>
      <c r="D1566" s="2"/>
      <c r="E1566" s="2"/>
      <c r="F1566" s="3"/>
    </row>
    <row r="1567" spans="1:6" ht="15" customHeight="1" x14ac:dyDescent="0.2">
      <c r="A1567" s="9" t="s">
        <v>3683</v>
      </c>
      <c r="B1567" s="9" t="s">
        <v>3684</v>
      </c>
      <c r="C1567" s="9" t="s">
        <v>2678</v>
      </c>
      <c r="D1567" s="8"/>
      <c r="E1567" s="8"/>
      <c r="F1567" s="9"/>
    </row>
    <row r="1568" spans="1:6" ht="15" customHeight="1" x14ac:dyDescent="0.2">
      <c r="A1568" s="3" t="s">
        <v>3685</v>
      </c>
      <c r="B1568" s="3" t="s">
        <v>3686</v>
      </c>
      <c r="C1568" s="3" t="s">
        <v>2678</v>
      </c>
      <c r="D1568" s="2"/>
      <c r="E1568" s="2"/>
      <c r="F1568" s="3"/>
    </row>
    <row r="1569" spans="1:6" ht="15" customHeight="1" x14ac:dyDescent="0.2">
      <c r="A1569" s="9" t="s">
        <v>3687</v>
      </c>
      <c r="B1569" s="9" t="s">
        <v>3688</v>
      </c>
      <c r="C1569" s="9" t="s">
        <v>2678</v>
      </c>
      <c r="D1569" s="8"/>
      <c r="E1569" s="8"/>
      <c r="F1569" s="9"/>
    </row>
    <row r="1570" spans="1:6" ht="15" customHeight="1" x14ac:dyDescent="0.2">
      <c r="A1570" s="3" t="s">
        <v>3689</v>
      </c>
      <c r="B1570" s="3" t="s">
        <v>3690</v>
      </c>
      <c r="C1570" s="3" t="s">
        <v>2678</v>
      </c>
      <c r="D1570" s="2"/>
      <c r="E1570" s="2"/>
      <c r="F1570" s="3"/>
    </row>
    <row r="1571" spans="1:6" ht="15" customHeight="1" x14ac:dyDescent="0.2">
      <c r="A1571" s="9" t="s">
        <v>3691</v>
      </c>
      <c r="B1571" s="9" t="s">
        <v>3692</v>
      </c>
      <c r="C1571" s="9" t="s">
        <v>2678</v>
      </c>
      <c r="D1571" s="8"/>
      <c r="E1571" s="8"/>
      <c r="F1571" s="9"/>
    </row>
    <row r="1572" spans="1:6" ht="15" customHeight="1" x14ac:dyDescent="0.2">
      <c r="A1572" s="3" t="s">
        <v>3693</v>
      </c>
      <c r="B1572" s="3" t="s">
        <v>3669</v>
      </c>
      <c r="C1572" s="3" t="s">
        <v>2678</v>
      </c>
      <c r="D1572" s="2"/>
      <c r="E1572" s="2"/>
      <c r="F1572" s="3"/>
    </row>
    <row r="1573" spans="1:6" ht="15" customHeight="1" x14ac:dyDescent="0.2">
      <c r="A1573" s="9" t="s">
        <v>3694</v>
      </c>
      <c r="B1573" s="9" t="s">
        <v>3695</v>
      </c>
      <c r="C1573" s="9" t="s">
        <v>2678</v>
      </c>
      <c r="D1573" s="8"/>
      <c r="E1573" s="8"/>
      <c r="F1573" s="9"/>
    </row>
    <row r="1574" spans="1:6" ht="15" customHeight="1" x14ac:dyDescent="0.2">
      <c r="A1574" s="3" t="s">
        <v>3696</v>
      </c>
      <c r="B1574" s="3" t="s">
        <v>3697</v>
      </c>
      <c r="C1574" s="3" t="s">
        <v>2678</v>
      </c>
      <c r="D1574" s="2"/>
      <c r="E1574" s="2"/>
      <c r="F1574" s="3"/>
    </row>
    <row r="1575" spans="1:6" ht="15" customHeight="1" x14ac:dyDescent="0.2">
      <c r="A1575" s="9" t="s">
        <v>3698</v>
      </c>
      <c r="B1575" s="9" t="s">
        <v>3699</v>
      </c>
      <c r="C1575" s="9" t="s">
        <v>2678</v>
      </c>
      <c r="D1575" s="8"/>
      <c r="E1575" s="8"/>
      <c r="F1575" s="9"/>
    </row>
    <row r="1576" spans="1:6" ht="15" customHeight="1" x14ac:dyDescent="0.2">
      <c r="A1576" s="3" t="s">
        <v>3700</v>
      </c>
      <c r="B1576" s="3" t="s">
        <v>3701</v>
      </c>
      <c r="C1576" s="3" t="s">
        <v>2678</v>
      </c>
      <c r="D1576" s="2"/>
      <c r="E1576" s="2"/>
      <c r="F1576" s="3"/>
    </row>
    <row r="1577" spans="1:6" ht="15" customHeight="1" x14ac:dyDescent="0.2">
      <c r="A1577" s="9" t="s">
        <v>3702</v>
      </c>
      <c r="B1577" s="9" t="s">
        <v>3703</v>
      </c>
      <c r="C1577" s="9" t="s">
        <v>2678</v>
      </c>
      <c r="D1577" s="8"/>
      <c r="E1577" s="8"/>
      <c r="F1577" s="9"/>
    </row>
    <row r="1578" spans="1:6" ht="15" customHeight="1" x14ac:dyDescent="0.2">
      <c r="A1578" s="3" t="s">
        <v>3704</v>
      </c>
      <c r="B1578" s="3" t="s">
        <v>3705</v>
      </c>
      <c r="C1578" s="3" t="s">
        <v>2678</v>
      </c>
      <c r="D1578" s="2"/>
      <c r="E1578" s="2"/>
      <c r="F1578" s="3"/>
    </row>
    <row r="1579" spans="1:6" ht="15" customHeight="1" x14ac:dyDescent="0.2">
      <c r="A1579" s="9" t="s">
        <v>3706</v>
      </c>
      <c r="B1579" s="9" t="s">
        <v>3707</v>
      </c>
      <c r="C1579" s="9" t="s">
        <v>2678</v>
      </c>
      <c r="D1579" s="8"/>
      <c r="E1579" s="8"/>
      <c r="F1579" s="9"/>
    </row>
    <row r="1580" spans="1:6" ht="15" customHeight="1" x14ac:dyDescent="0.2">
      <c r="A1580" s="3" t="s">
        <v>3708</v>
      </c>
      <c r="B1580" s="3" t="s">
        <v>3709</v>
      </c>
      <c r="C1580" s="3" t="s">
        <v>2678</v>
      </c>
      <c r="D1580" s="2"/>
      <c r="E1580" s="2"/>
      <c r="F1580" s="3"/>
    </row>
    <row r="1581" spans="1:6" ht="15" customHeight="1" x14ac:dyDescent="0.2">
      <c r="A1581" s="9" t="s">
        <v>3710</v>
      </c>
      <c r="B1581" s="9" t="s">
        <v>3711</v>
      </c>
      <c r="C1581" s="9" t="s">
        <v>2678</v>
      </c>
      <c r="D1581" s="8"/>
      <c r="E1581" s="8"/>
      <c r="F1581" s="9"/>
    </row>
    <row r="1582" spans="1:6" ht="15" customHeight="1" x14ac:dyDescent="0.2">
      <c r="A1582" s="3" t="s">
        <v>3712</v>
      </c>
      <c r="B1582" s="3" t="s">
        <v>3713</v>
      </c>
      <c r="C1582" s="3" t="s">
        <v>2678</v>
      </c>
      <c r="D1582" s="2"/>
      <c r="E1582" s="2"/>
      <c r="F1582" s="3"/>
    </row>
    <row r="1583" spans="1:6" ht="15" customHeight="1" x14ac:dyDescent="0.2">
      <c r="A1583" s="9" t="s">
        <v>3714</v>
      </c>
      <c r="B1583" s="9" t="s">
        <v>3715</v>
      </c>
      <c r="C1583" s="9" t="s">
        <v>2678</v>
      </c>
      <c r="D1583" s="8"/>
      <c r="E1583" s="8"/>
      <c r="F1583" s="9"/>
    </row>
    <row r="1584" spans="1:6" ht="15" customHeight="1" x14ac:dyDescent="0.2">
      <c r="A1584" s="3" t="s">
        <v>3716</v>
      </c>
      <c r="B1584" s="3" t="s">
        <v>3476</v>
      </c>
      <c r="C1584" s="3" t="s">
        <v>2678</v>
      </c>
      <c r="D1584" s="2"/>
      <c r="E1584" s="2"/>
      <c r="F1584" s="3"/>
    </row>
    <row r="1585" spans="1:6" ht="15" customHeight="1" x14ac:dyDescent="0.2">
      <c r="A1585" s="9" t="s">
        <v>3717</v>
      </c>
      <c r="B1585" s="9" t="s">
        <v>3718</v>
      </c>
      <c r="C1585" s="9" t="s">
        <v>2678</v>
      </c>
      <c r="D1585" s="8"/>
      <c r="E1585" s="8"/>
      <c r="F1585" s="9"/>
    </row>
    <row r="1586" spans="1:6" ht="15" customHeight="1" x14ac:dyDescent="0.2">
      <c r="A1586" s="3" t="s">
        <v>3719</v>
      </c>
      <c r="B1586" s="3" t="s">
        <v>3720</v>
      </c>
      <c r="C1586" s="3" t="s">
        <v>2678</v>
      </c>
      <c r="D1586" s="2"/>
      <c r="E1586" s="2"/>
      <c r="F1586" s="3"/>
    </row>
    <row r="1587" spans="1:6" ht="15" customHeight="1" x14ac:dyDescent="0.2">
      <c r="A1587" s="9" t="s">
        <v>3721</v>
      </c>
      <c r="B1587" s="9" t="s">
        <v>3722</v>
      </c>
      <c r="C1587" s="9" t="s">
        <v>2678</v>
      </c>
      <c r="D1587" s="8"/>
      <c r="E1587" s="8"/>
      <c r="F1587" s="9"/>
    </row>
    <row r="1588" spans="1:6" ht="15" customHeight="1" x14ac:dyDescent="0.2">
      <c r="A1588" s="3" t="s">
        <v>3723</v>
      </c>
      <c r="B1588" s="3" t="s">
        <v>3724</v>
      </c>
      <c r="C1588" s="3" t="s">
        <v>2678</v>
      </c>
      <c r="D1588" s="2"/>
      <c r="E1588" s="2"/>
      <c r="F1588" s="3"/>
    </row>
    <row r="1589" spans="1:6" ht="15" customHeight="1" x14ac:dyDescent="0.2">
      <c r="A1589" s="9" t="s">
        <v>3725</v>
      </c>
      <c r="B1589" s="9" t="s">
        <v>3726</v>
      </c>
      <c r="C1589" s="9" t="s">
        <v>2678</v>
      </c>
      <c r="D1589" s="8"/>
      <c r="E1589" s="8"/>
      <c r="F1589" s="9"/>
    </row>
    <row r="1590" spans="1:6" ht="15" customHeight="1" x14ac:dyDescent="0.2">
      <c r="A1590" s="3" t="s">
        <v>3727</v>
      </c>
      <c r="B1590" s="3" t="s">
        <v>3728</v>
      </c>
      <c r="C1590" s="3" t="s">
        <v>2678</v>
      </c>
      <c r="D1590" s="2"/>
      <c r="E1590" s="2"/>
      <c r="F1590" s="3"/>
    </row>
    <row r="1591" spans="1:6" ht="15" customHeight="1" x14ac:dyDescent="0.2">
      <c r="A1591" s="9" t="s">
        <v>3729</v>
      </c>
      <c r="B1591" s="9" t="s">
        <v>3730</v>
      </c>
      <c r="C1591" s="9" t="s">
        <v>2678</v>
      </c>
      <c r="D1591" s="8"/>
      <c r="E1591" s="8"/>
      <c r="F1591" s="9"/>
    </row>
    <row r="1592" spans="1:6" ht="15" customHeight="1" x14ac:dyDescent="0.2">
      <c r="A1592" s="3" t="s">
        <v>3731</v>
      </c>
      <c r="B1592" s="3" t="s">
        <v>3732</v>
      </c>
      <c r="C1592" s="3" t="s">
        <v>2678</v>
      </c>
      <c r="D1592" s="2"/>
      <c r="E1592" s="2"/>
      <c r="F1592" s="3"/>
    </row>
    <row r="1593" spans="1:6" ht="15" customHeight="1" x14ac:dyDescent="0.2">
      <c r="A1593" s="9" t="s">
        <v>3733</v>
      </c>
      <c r="B1593" s="9" t="s">
        <v>3734</v>
      </c>
      <c r="C1593" s="9" t="s">
        <v>2678</v>
      </c>
      <c r="D1593" s="8"/>
      <c r="E1593" s="8"/>
      <c r="F1593" s="9"/>
    </row>
    <row r="1594" spans="1:6" ht="15" customHeight="1" x14ac:dyDescent="0.2">
      <c r="A1594" s="3" t="s">
        <v>3735</v>
      </c>
      <c r="B1594" s="3" t="s">
        <v>3736</v>
      </c>
      <c r="C1594" s="3" t="s">
        <v>2678</v>
      </c>
      <c r="D1594" s="2"/>
      <c r="E1594" s="2"/>
      <c r="F1594" s="3"/>
    </row>
    <row r="1595" spans="1:6" ht="15" customHeight="1" x14ac:dyDescent="0.2">
      <c r="A1595" s="9" t="s">
        <v>3737</v>
      </c>
      <c r="B1595" s="9" t="s">
        <v>3738</v>
      </c>
      <c r="C1595" s="9" t="s">
        <v>2678</v>
      </c>
      <c r="D1595" s="8"/>
      <c r="E1595" s="8"/>
      <c r="F1595" s="9"/>
    </row>
    <row r="1596" spans="1:6" ht="15" customHeight="1" x14ac:dyDescent="0.2">
      <c r="A1596" s="3" t="s">
        <v>3739</v>
      </c>
      <c r="B1596" s="3" t="s">
        <v>3740</v>
      </c>
      <c r="C1596" s="3" t="s">
        <v>2678</v>
      </c>
      <c r="D1596" s="2"/>
      <c r="E1596" s="2"/>
      <c r="F1596" s="3"/>
    </row>
    <row r="1597" spans="1:6" ht="15" customHeight="1" x14ac:dyDescent="0.2">
      <c r="A1597" s="9" t="s">
        <v>3741</v>
      </c>
      <c r="B1597" s="9" t="s">
        <v>3742</v>
      </c>
      <c r="C1597" s="9" t="s">
        <v>2678</v>
      </c>
      <c r="D1597" s="8"/>
      <c r="E1597" s="8"/>
      <c r="F1597" s="9"/>
    </row>
    <row r="1598" spans="1:6" ht="15" customHeight="1" x14ac:dyDescent="0.2">
      <c r="A1598" s="3" t="s">
        <v>3743</v>
      </c>
      <c r="B1598" s="3" t="s">
        <v>3744</v>
      </c>
      <c r="C1598" s="3" t="s">
        <v>2678</v>
      </c>
      <c r="D1598" s="2"/>
      <c r="E1598" s="2"/>
      <c r="F1598" s="3"/>
    </row>
    <row r="1599" spans="1:6" ht="15" customHeight="1" x14ac:dyDescent="0.2">
      <c r="A1599" s="9" t="s">
        <v>3745</v>
      </c>
      <c r="B1599" s="9" t="s">
        <v>3746</v>
      </c>
      <c r="C1599" s="9" t="s">
        <v>2678</v>
      </c>
      <c r="D1599" s="8"/>
      <c r="E1599" s="8"/>
      <c r="F1599" s="9"/>
    </row>
    <row r="1600" spans="1:6" ht="15" customHeight="1" x14ac:dyDescent="0.2">
      <c r="A1600" s="3" t="s">
        <v>3747</v>
      </c>
      <c r="B1600" s="3" t="s">
        <v>3748</v>
      </c>
      <c r="C1600" s="3" t="s">
        <v>2678</v>
      </c>
      <c r="D1600" s="2"/>
      <c r="E1600" s="2"/>
      <c r="F1600" s="3"/>
    </row>
    <row r="1601" spans="1:6" ht="15" customHeight="1" x14ac:dyDescent="0.2">
      <c r="A1601" s="9" t="s">
        <v>3749</v>
      </c>
      <c r="B1601" s="9" t="s">
        <v>3750</v>
      </c>
      <c r="C1601" s="9" t="s">
        <v>2678</v>
      </c>
      <c r="D1601" s="8"/>
      <c r="E1601" s="8"/>
      <c r="F1601" s="9"/>
    </row>
    <row r="1602" spans="1:6" ht="15" customHeight="1" x14ac:dyDescent="0.2">
      <c r="A1602" s="3" t="s">
        <v>3751</v>
      </c>
      <c r="B1602" s="3" t="s">
        <v>3752</v>
      </c>
      <c r="C1602" s="3" t="s">
        <v>2678</v>
      </c>
      <c r="D1602" s="2"/>
      <c r="E1602" s="2"/>
      <c r="F1602" s="3"/>
    </row>
    <row r="1603" spans="1:6" ht="15" customHeight="1" x14ac:dyDescent="0.2">
      <c r="A1603" s="9" t="s">
        <v>3753</v>
      </c>
      <c r="B1603" s="9" t="s">
        <v>3754</v>
      </c>
      <c r="C1603" s="9" t="s">
        <v>2678</v>
      </c>
      <c r="D1603" s="8"/>
      <c r="E1603" s="8"/>
      <c r="F1603" s="9"/>
    </row>
    <row r="1604" spans="1:6" ht="15" customHeight="1" x14ac:dyDescent="0.2">
      <c r="A1604" s="3" t="s">
        <v>3755</v>
      </c>
      <c r="B1604" s="3" t="s">
        <v>3756</v>
      </c>
      <c r="C1604" s="3" t="s">
        <v>2678</v>
      </c>
      <c r="D1604" s="2"/>
      <c r="E1604" s="2"/>
      <c r="F1604" s="3"/>
    </row>
    <row r="1605" spans="1:6" ht="15" customHeight="1" x14ac:dyDescent="0.2">
      <c r="A1605" s="9" t="s">
        <v>3757</v>
      </c>
      <c r="B1605" s="9" t="s">
        <v>3758</v>
      </c>
      <c r="C1605" s="9" t="s">
        <v>2678</v>
      </c>
      <c r="D1605" s="8"/>
      <c r="E1605" s="8"/>
      <c r="F1605" s="9"/>
    </row>
    <row r="1606" spans="1:6" ht="15" customHeight="1" x14ac:dyDescent="0.2">
      <c r="A1606" s="3" t="s">
        <v>3759</v>
      </c>
      <c r="B1606" s="3" t="s">
        <v>3760</v>
      </c>
      <c r="C1606" s="3" t="s">
        <v>2678</v>
      </c>
      <c r="D1606" s="2"/>
      <c r="E1606" s="2"/>
      <c r="F1606" s="3"/>
    </row>
    <row r="1607" spans="1:6" ht="15" customHeight="1" x14ac:dyDescent="0.2">
      <c r="A1607" s="9" t="s">
        <v>3761</v>
      </c>
      <c r="B1607" s="9" t="s">
        <v>3669</v>
      </c>
      <c r="C1607" s="9" t="s">
        <v>2678</v>
      </c>
      <c r="D1607" s="8"/>
      <c r="E1607" s="8"/>
      <c r="F1607" s="9"/>
    </row>
    <row r="1608" spans="1:6" ht="15" customHeight="1" x14ac:dyDescent="0.2">
      <c r="A1608" s="3" t="s">
        <v>3762</v>
      </c>
      <c r="B1608" s="3" t="s">
        <v>3763</v>
      </c>
      <c r="C1608" s="3" t="s">
        <v>2678</v>
      </c>
      <c r="D1608" s="2"/>
      <c r="E1608" s="2"/>
      <c r="F1608" s="3"/>
    </row>
    <row r="1609" spans="1:6" ht="15" customHeight="1" x14ac:dyDescent="0.2">
      <c r="A1609" s="9" t="s">
        <v>3764</v>
      </c>
      <c r="B1609" s="9" t="s">
        <v>3765</v>
      </c>
      <c r="C1609" s="9" t="s">
        <v>2678</v>
      </c>
      <c r="D1609" s="8"/>
      <c r="E1609" s="8"/>
      <c r="F1609" s="9"/>
    </row>
    <row r="1610" spans="1:6" ht="15" customHeight="1" x14ac:dyDescent="0.2">
      <c r="A1610" s="3" t="s">
        <v>3766</v>
      </c>
      <c r="B1610" s="3" t="s">
        <v>3767</v>
      </c>
      <c r="C1610" s="3" t="s">
        <v>2678</v>
      </c>
      <c r="D1610" s="2"/>
      <c r="E1610" s="2"/>
      <c r="F1610" s="3"/>
    </row>
    <row r="1611" spans="1:6" ht="15" customHeight="1" x14ac:dyDescent="0.2">
      <c r="A1611" s="9" t="s">
        <v>3768</v>
      </c>
      <c r="B1611" s="9" t="s">
        <v>3769</v>
      </c>
      <c r="C1611" s="9" t="s">
        <v>2678</v>
      </c>
      <c r="D1611" s="8"/>
      <c r="E1611" s="8"/>
      <c r="F1611" s="9"/>
    </row>
    <row r="1612" spans="1:6" ht="15" customHeight="1" x14ac:dyDescent="0.2">
      <c r="A1612" s="3" t="s">
        <v>3770</v>
      </c>
      <c r="B1612" s="3" t="s">
        <v>3771</v>
      </c>
      <c r="C1612" s="3" t="s">
        <v>2678</v>
      </c>
      <c r="D1612" s="2"/>
      <c r="E1612" s="2"/>
      <c r="F1612" s="3"/>
    </row>
    <row r="1613" spans="1:6" ht="15" customHeight="1" x14ac:dyDescent="0.2">
      <c r="A1613" s="9" t="s">
        <v>3772</v>
      </c>
      <c r="B1613" s="9" t="s">
        <v>3773</v>
      </c>
      <c r="C1613" s="9" t="s">
        <v>2678</v>
      </c>
      <c r="D1613" s="8"/>
      <c r="E1613" s="8"/>
      <c r="F1613" s="9"/>
    </row>
    <row r="1614" spans="1:6" ht="15" customHeight="1" x14ac:dyDescent="0.2">
      <c r="A1614" s="3" t="s">
        <v>3774</v>
      </c>
      <c r="B1614" s="3" t="s">
        <v>3775</v>
      </c>
      <c r="C1614" s="3" t="s">
        <v>2678</v>
      </c>
      <c r="D1614" s="2"/>
      <c r="E1614" s="2"/>
      <c r="F1614" s="3"/>
    </row>
    <row r="1615" spans="1:6" ht="15" customHeight="1" x14ac:dyDescent="0.2">
      <c r="A1615" s="9" t="s">
        <v>3776</v>
      </c>
      <c r="B1615" s="9" t="s">
        <v>3184</v>
      </c>
      <c r="C1615" s="9" t="s">
        <v>2678</v>
      </c>
      <c r="D1615" s="8"/>
      <c r="E1615" s="8"/>
      <c r="F1615" s="9"/>
    </row>
    <row r="1616" spans="1:6" ht="15" customHeight="1" x14ac:dyDescent="0.2">
      <c r="A1616" s="3" t="s">
        <v>3777</v>
      </c>
      <c r="B1616" s="3" t="s">
        <v>3778</v>
      </c>
      <c r="C1616" s="3" t="s">
        <v>2678</v>
      </c>
      <c r="D1616" s="2"/>
      <c r="E1616" s="2"/>
      <c r="F1616" s="3"/>
    </row>
    <row r="1617" spans="1:6" ht="15" customHeight="1" x14ac:dyDescent="0.2">
      <c r="A1617" s="9" t="s">
        <v>3779</v>
      </c>
      <c r="B1617" s="9" t="s">
        <v>3780</v>
      </c>
      <c r="C1617" s="9" t="s">
        <v>2678</v>
      </c>
      <c r="D1617" s="8"/>
      <c r="E1617" s="8"/>
      <c r="F1617" s="9"/>
    </row>
    <row r="1618" spans="1:6" ht="15" customHeight="1" x14ac:dyDescent="0.2">
      <c r="A1618" s="3" t="s">
        <v>3781</v>
      </c>
      <c r="B1618" s="3" t="s">
        <v>3782</v>
      </c>
      <c r="C1618" s="3" t="s">
        <v>2678</v>
      </c>
      <c r="D1618" s="2"/>
      <c r="E1618" s="2"/>
      <c r="F1618" s="3"/>
    </row>
    <row r="1619" spans="1:6" ht="15" customHeight="1" x14ac:dyDescent="0.2">
      <c r="A1619" s="9" t="s">
        <v>3783</v>
      </c>
      <c r="B1619" s="9" t="s">
        <v>3784</v>
      </c>
      <c r="C1619" s="9" t="s">
        <v>2678</v>
      </c>
      <c r="D1619" s="8"/>
      <c r="E1619" s="8"/>
      <c r="F1619" s="9"/>
    </row>
    <row r="1620" spans="1:6" ht="15" customHeight="1" x14ac:dyDescent="0.2">
      <c r="A1620" s="3" t="s">
        <v>3785</v>
      </c>
      <c r="B1620" s="3" t="s">
        <v>3786</v>
      </c>
      <c r="C1620" s="3" t="s">
        <v>2678</v>
      </c>
      <c r="D1620" s="2"/>
      <c r="E1620" s="2"/>
      <c r="F1620" s="3"/>
    </row>
    <row r="1621" spans="1:6" ht="15" customHeight="1" x14ac:dyDescent="0.2">
      <c r="A1621" s="9" t="s">
        <v>3787</v>
      </c>
      <c r="B1621" s="9" t="s">
        <v>3788</v>
      </c>
      <c r="C1621" s="9" t="s">
        <v>2678</v>
      </c>
      <c r="D1621" s="8"/>
      <c r="E1621" s="8"/>
      <c r="F1621" s="9"/>
    </row>
    <row r="1622" spans="1:6" ht="15" customHeight="1" x14ac:dyDescent="0.2">
      <c r="A1622" s="3" t="s">
        <v>3789</v>
      </c>
      <c r="B1622" s="3" t="s">
        <v>3790</v>
      </c>
      <c r="C1622" s="3" t="s">
        <v>2678</v>
      </c>
      <c r="D1622" s="2"/>
      <c r="E1622" s="2"/>
      <c r="F1622" s="3"/>
    </row>
    <row r="1623" spans="1:6" ht="15" customHeight="1" x14ac:dyDescent="0.2">
      <c r="A1623" s="9" t="s">
        <v>3791</v>
      </c>
      <c r="B1623" s="9" t="s">
        <v>3184</v>
      </c>
      <c r="C1623" s="9" t="s">
        <v>2678</v>
      </c>
      <c r="D1623" s="8"/>
      <c r="E1623" s="8"/>
      <c r="F1623" s="9"/>
    </row>
    <row r="1624" spans="1:6" ht="15" customHeight="1" x14ac:dyDescent="0.2">
      <c r="A1624" s="3" t="s">
        <v>3792</v>
      </c>
      <c r="B1624" s="3" t="s">
        <v>3793</v>
      </c>
      <c r="C1624" s="3" t="s">
        <v>2678</v>
      </c>
      <c r="D1624" s="2"/>
      <c r="E1624" s="2"/>
      <c r="F1624" s="3"/>
    </row>
    <row r="1625" spans="1:6" ht="15" customHeight="1" x14ac:dyDescent="0.2">
      <c r="A1625" s="9" t="s">
        <v>3794</v>
      </c>
      <c r="B1625" s="9" t="s">
        <v>3795</v>
      </c>
      <c r="C1625" s="9" t="s">
        <v>2678</v>
      </c>
      <c r="D1625" s="8"/>
      <c r="E1625" s="8"/>
      <c r="F1625" s="9"/>
    </row>
    <row r="1626" spans="1:6" ht="15" customHeight="1" x14ac:dyDescent="0.2">
      <c r="A1626" s="3" t="s">
        <v>3796</v>
      </c>
      <c r="B1626" s="3" t="s">
        <v>3797</v>
      </c>
      <c r="C1626" s="3" t="s">
        <v>2678</v>
      </c>
      <c r="D1626" s="2"/>
      <c r="E1626" s="2"/>
      <c r="F1626" s="3"/>
    </row>
    <row r="1627" spans="1:6" ht="15" customHeight="1" x14ac:dyDescent="0.2">
      <c r="A1627" s="9" t="s">
        <v>3798</v>
      </c>
      <c r="B1627" s="9" t="s">
        <v>3799</v>
      </c>
      <c r="C1627" s="9" t="s">
        <v>2678</v>
      </c>
      <c r="D1627" s="8"/>
      <c r="E1627" s="8"/>
      <c r="F1627" s="9"/>
    </row>
    <row r="1628" spans="1:6" ht="15" customHeight="1" x14ac:dyDescent="0.2">
      <c r="A1628" s="3" t="s">
        <v>3800</v>
      </c>
      <c r="B1628" s="3" t="s">
        <v>3801</v>
      </c>
      <c r="C1628" s="3" t="s">
        <v>2678</v>
      </c>
      <c r="D1628" s="2"/>
      <c r="E1628" s="2"/>
      <c r="F1628" s="3"/>
    </row>
    <row r="1629" spans="1:6" ht="15" customHeight="1" x14ac:dyDescent="0.2">
      <c r="A1629" s="9" t="s">
        <v>3802</v>
      </c>
      <c r="B1629" s="9" t="s">
        <v>3803</v>
      </c>
      <c r="C1629" s="9" t="s">
        <v>2678</v>
      </c>
      <c r="D1629" s="8"/>
      <c r="E1629" s="8"/>
      <c r="F1629" s="9"/>
    </row>
    <row r="1630" spans="1:6" ht="15" customHeight="1" x14ac:dyDescent="0.2">
      <c r="A1630" s="3" t="s">
        <v>3804</v>
      </c>
      <c r="B1630" s="3" t="s">
        <v>3805</v>
      </c>
      <c r="C1630" s="3" t="s">
        <v>2678</v>
      </c>
      <c r="D1630" s="2"/>
      <c r="E1630" s="2"/>
      <c r="F1630" s="3"/>
    </row>
    <row r="1631" spans="1:6" ht="15" customHeight="1" x14ac:dyDescent="0.2">
      <c r="A1631" s="9" t="s">
        <v>3806</v>
      </c>
      <c r="B1631" s="9" t="s">
        <v>3807</v>
      </c>
      <c r="C1631" s="9" t="s">
        <v>2678</v>
      </c>
      <c r="D1631" s="8"/>
      <c r="E1631" s="8"/>
      <c r="F1631" s="9"/>
    </row>
    <row r="1632" spans="1:6" ht="15" customHeight="1" x14ac:dyDescent="0.2">
      <c r="A1632" s="3" t="s">
        <v>3808</v>
      </c>
      <c r="B1632" s="3" t="s">
        <v>3809</v>
      </c>
      <c r="C1632" s="3" t="s">
        <v>2678</v>
      </c>
      <c r="D1632" s="2"/>
      <c r="E1632" s="2"/>
      <c r="F1632" s="3"/>
    </row>
    <row r="1633" spans="1:6" ht="15" customHeight="1" x14ac:dyDescent="0.2">
      <c r="A1633" s="9" t="s">
        <v>3810</v>
      </c>
      <c r="B1633" s="9" t="s">
        <v>3600</v>
      </c>
      <c r="C1633" s="9" t="s">
        <v>2678</v>
      </c>
      <c r="D1633" s="8"/>
      <c r="E1633" s="8"/>
      <c r="F1633" s="9"/>
    </row>
    <row r="1634" spans="1:6" ht="15" customHeight="1" x14ac:dyDescent="0.2">
      <c r="A1634" s="3" t="s">
        <v>3811</v>
      </c>
      <c r="B1634" s="3" t="s">
        <v>3812</v>
      </c>
      <c r="C1634" s="3" t="s">
        <v>2678</v>
      </c>
      <c r="D1634" s="2"/>
      <c r="E1634" s="2"/>
      <c r="F1634" s="3"/>
    </row>
    <row r="1635" spans="1:6" ht="15" customHeight="1" x14ac:dyDescent="0.2">
      <c r="A1635" s="9" t="s">
        <v>3813</v>
      </c>
      <c r="B1635" s="9" t="s">
        <v>3692</v>
      </c>
      <c r="C1635" s="9" t="s">
        <v>2678</v>
      </c>
      <c r="D1635" s="8"/>
      <c r="E1635" s="8"/>
      <c r="F1635" s="9"/>
    </row>
    <row r="1636" spans="1:6" ht="15" customHeight="1" x14ac:dyDescent="0.2">
      <c r="A1636" s="3" t="s">
        <v>3814</v>
      </c>
      <c r="B1636" s="3" t="s">
        <v>3815</v>
      </c>
      <c r="C1636" s="3" t="s">
        <v>2678</v>
      </c>
      <c r="D1636" s="2"/>
      <c r="E1636" s="2"/>
      <c r="F1636" s="3"/>
    </row>
    <row r="1637" spans="1:6" ht="15" customHeight="1" x14ac:dyDescent="0.2">
      <c r="A1637" s="9" t="s">
        <v>3816</v>
      </c>
      <c r="B1637" s="9" t="s">
        <v>3817</v>
      </c>
      <c r="C1637" s="9" t="s">
        <v>2678</v>
      </c>
      <c r="D1637" s="8"/>
      <c r="E1637" s="8"/>
      <c r="F1637" s="9"/>
    </row>
    <row r="1638" spans="1:6" ht="15" customHeight="1" x14ac:dyDescent="0.2">
      <c r="A1638" s="3" t="s">
        <v>3818</v>
      </c>
      <c r="B1638" s="3" t="s">
        <v>3819</v>
      </c>
      <c r="C1638" s="3" t="s">
        <v>2678</v>
      </c>
      <c r="D1638" s="2"/>
      <c r="E1638" s="2"/>
      <c r="F1638" s="3"/>
    </row>
    <row r="1639" spans="1:6" ht="15" customHeight="1" x14ac:dyDescent="0.2">
      <c r="A1639" s="9" t="s">
        <v>3820</v>
      </c>
      <c r="B1639" s="9" t="s">
        <v>3821</v>
      </c>
      <c r="C1639" s="9" t="s">
        <v>2678</v>
      </c>
      <c r="D1639" s="8"/>
      <c r="E1639" s="8"/>
      <c r="F1639" s="9"/>
    </row>
    <row r="1640" spans="1:6" ht="15" customHeight="1" x14ac:dyDescent="0.2">
      <c r="A1640" s="3" t="s">
        <v>3822</v>
      </c>
      <c r="B1640" s="3" t="s">
        <v>3823</v>
      </c>
      <c r="C1640" s="3" t="s">
        <v>2678</v>
      </c>
      <c r="D1640" s="2"/>
      <c r="E1640" s="2"/>
      <c r="F1640" s="3"/>
    </row>
    <row r="1641" spans="1:6" ht="15" customHeight="1" x14ac:dyDescent="0.2">
      <c r="A1641" s="9" t="s">
        <v>3824</v>
      </c>
      <c r="B1641" s="9" t="s">
        <v>3825</v>
      </c>
      <c r="C1641" s="9" t="s">
        <v>2678</v>
      </c>
      <c r="D1641" s="8"/>
      <c r="E1641" s="8"/>
      <c r="F1641" s="9"/>
    </row>
    <row r="1642" spans="1:6" ht="15" customHeight="1" x14ac:dyDescent="0.2">
      <c r="A1642" s="3" t="s">
        <v>3826</v>
      </c>
      <c r="B1642" s="3" t="s">
        <v>3827</v>
      </c>
      <c r="C1642" s="3" t="s">
        <v>2678</v>
      </c>
      <c r="D1642" s="2"/>
      <c r="E1642" s="2"/>
      <c r="F1642" s="3"/>
    </row>
    <row r="1643" spans="1:6" ht="15" customHeight="1" x14ac:dyDescent="0.2">
      <c r="A1643" s="9" t="s">
        <v>3828</v>
      </c>
      <c r="B1643" s="9" t="s">
        <v>3829</v>
      </c>
      <c r="C1643" s="9" t="s">
        <v>2678</v>
      </c>
      <c r="D1643" s="8"/>
      <c r="E1643" s="8"/>
      <c r="F1643" s="9"/>
    </row>
    <row r="1644" spans="1:6" ht="15" customHeight="1" x14ac:dyDescent="0.2">
      <c r="A1644" s="3" t="s">
        <v>3830</v>
      </c>
      <c r="B1644" s="3" t="s">
        <v>3831</v>
      </c>
      <c r="C1644" s="3" t="s">
        <v>2678</v>
      </c>
      <c r="D1644" s="2"/>
      <c r="E1644" s="2"/>
      <c r="F1644" s="3"/>
    </row>
    <row r="1645" spans="1:6" ht="15" customHeight="1" x14ac:dyDescent="0.2">
      <c r="A1645" s="9" t="s">
        <v>3832</v>
      </c>
      <c r="B1645" s="9" t="s">
        <v>3833</v>
      </c>
      <c r="C1645" s="9" t="s">
        <v>2678</v>
      </c>
      <c r="D1645" s="8"/>
      <c r="E1645" s="8"/>
      <c r="F1645" s="9"/>
    </row>
    <row r="1646" spans="1:6" ht="15" customHeight="1" x14ac:dyDescent="0.2">
      <c r="A1646" s="3" t="s">
        <v>3834</v>
      </c>
      <c r="B1646" s="3" t="s">
        <v>3835</v>
      </c>
      <c r="C1646" s="3" t="s">
        <v>2678</v>
      </c>
      <c r="D1646" s="2"/>
      <c r="E1646" s="2"/>
      <c r="F1646" s="3"/>
    </row>
    <row r="1647" spans="1:6" ht="15" customHeight="1" x14ac:dyDescent="0.2">
      <c r="A1647" s="9" t="s">
        <v>3836</v>
      </c>
      <c r="B1647" s="9" t="s">
        <v>3837</v>
      </c>
      <c r="C1647" s="9" t="s">
        <v>2678</v>
      </c>
      <c r="D1647" s="8"/>
      <c r="E1647" s="8"/>
      <c r="F1647" s="9"/>
    </row>
    <row r="1648" spans="1:6" ht="15" customHeight="1" x14ac:dyDescent="0.2">
      <c r="A1648" s="3" t="s">
        <v>3838</v>
      </c>
      <c r="B1648" s="3" t="s">
        <v>3839</v>
      </c>
      <c r="C1648" s="3" t="s">
        <v>2678</v>
      </c>
      <c r="D1648" s="2"/>
      <c r="E1648" s="2"/>
      <c r="F1648" s="3"/>
    </row>
    <row r="1649" spans="1:6" ht="15" customHeight="1" x14ac:dyDescent="0.2">
      <c r="A1649" s="9" t="s">
        <v>3840</v>
      </c>
      <c r="B1649" s="9" t="s">
        <v>3841</v>
      </c>
      <c r="C1649" s="9" t="s">
        <v>2678</v>
      </c>
      <c r="D1649" s="8"/>
      <c r="E1649" s="8"/>
      <c r="F1649" s="9"/>
    </row>
    <row r="1650" spans="1:6" ht="15" customHeight="1" x14ac:dyDescent="0.2">
      <c r="A1650" s="3" t="s">
        <v>3842</v>
      </c>
      <c r="B1650" s="3" t="s">
        <v>3843</v>
      </c>
      <c r="C1650" s="3" t="s">
        <v>2678</v>
      </c>
      <c r="D1650" s="2"/>
      <c r="E1650" s="2"/>
      <c r="F1650" s="3"/>
    </row>
    <row r="1651" spans="1:6" ht="15" customHeight="1" x14ac:dyDescent="0.2">
      <c r="A1651" s="9" t="s">
        <v>3844</v>
      </c>
      <c r="B1651" s="9" t="s">
        <v>3845</v>
      </c>
      <c r="C1651" s="9" t="s">
        <v>2678</v>
      </c>
      <c r="D1651" s="8"/>
      <c r="E1651" s="8"/>
      <c r="F1651" s="9"/>
    </row>
    <row r="1652" spans="1:6" ht="15" customHeight="1" x14ac:dyDescent="0.2">
      <c r="A1652" s="3" t="s">
        <v>3846</v>
      </c>
      <c r="B1652" s="3" t="s">
        <v>3506</v>
      </c>
      <c r="C1652" s="3" t="s">
        <v>2678</v>
      </c>
      <c r="D1652" s="2"/>
      <c r="E1652" s="2"/>
      <c r="F1652" s="3"/>
    </row>
    <row r="1653" spans="1:6" ht="15" customHeight="1" x14ac:dyDescent="0.2">
      <c r="A1653" s="9" t="s">
        <v>3847</v>
      </c>
      <c r="B1653" s="9" t="s">
        <v>3848</v>
      </c>
      <c r="C1653" s="9" t="s">
        <v>2678</v>
      </c>
      <c r="D1653" s="8"/>
      <c r="E1653" s="8"/>
      <c r="F1653" s="9"/>
    </row>
    <row r="1654" spans="1:6" ht="15" customHeight="1" x14ac:dyDescent="0.2">
      <c r="A1654" s="3" t="s">
        <v>3849</v>
      </c>
      <c r="B1654" s="3" t="s">
        <v>3850</v>
      </c>
      <c r="C1654" s="3" t="s">
        <v>2678</v>
      </c>
      <c r="D1654" s="2"/>
      <c r="E1654" s="2"/>
      <c r="F1654" s="3"/>
    </row>
    <row r="1655" spans="1:6" ht="15" customHeight="1" x14ac:dyDescent="0.2">
      <c r="A1655" s="9" t="s">
        <v>3851</v>
      </c>
      <c r="B1655" s="9" t="s">
        <v>3852</v>
      </c>
      <c r="C1655" s="9" t="s">
        <v>2678</v>
      </c>
      <c r="D1655" s="8"/>
      <c r="E1655" s="8"/>
      <c r="F1655" s="9"/>
    </row>
    <row r="1656" spans="1:6" ht="15" customHeight="1" x14ac:dyDescent="0.2">
      <c r="A1656" s="3" t="s">
        <v>3853</v>
      </c>
      <c r="B1656" s="3" t="s">
        <v>3854</v>
      </c>
      <c r="C1656" s="3" t="s">
        <v>2678</v>
      </c>
      <c r="D1656" s="2"/>
      <c r="E1656" s="2"/>
      <c r="F1656" s="3"/>
    </row>
    <row r="1657" spans="1:6" ht="15" customHeight="1" x14ac:dyDescent="0.2">
      <c r="A1657" s="9" t="s">
        <v>3855</v>
      </c>
      <c r="B1657" s="9" t="s">
        <v>3856</v>
      </c>
      <c r="C1657" s="9" t="s">
        <v>2678</v>
      </c>
      <c r="D1657" s="8"/>
      <c r="E1657" s="8"/>
      <c r="F1657" s="9"/>
    </row>
    <row r="1658" spans="1:6" ht="15" customHeight="1" x14ac:dyDescent="0.2">
      <c r="A1658" s="3" t="s">
        <v>3857</v>
      </c>
      <c r="B1658" s="3" t="s">
        <v>3858</v>
      </c>
      <c r="C1658" s="3" t="s">
        <v>2678</v>
      </c>
      <c r="D1658" s="2"/>
      <c r="E1658" s="2"/>
      <c r="F1658" s="3"/>
    </row>
    <row r="1659" spans="1:6" ht="15" customHeight="1" x14ac:dyDescent="0.2">
      <c r="A1659" s="9" t="s">
        <v>3859</v>
      </c>
      <c r="B1659" s="9" t="s">
        <v>3860</v>
      </c>
      <c r="C1659" s="9" t="s">
        <v>2678</v>
      </c>
      <c r="D1659" s="8"/>
      <c r="E1659" s="8"/>
      <c r="F1659" s="9"/>
    </row>
    <row r="1660" spans="1:6" ht="15" customHeight="1" x14ac:dyDescent="0.2">
      <c r="A1660" s="3" t="s">
        <v>3861</v>
      </c>
      <c r="B1660" s="3" t="s">
        <v>3862</v>
      </c>
      <c r="C1660" s="3" t="s">
        <v>2678</v>
      </c>
      <c r="D1660" s="2"/>
      <c r="E1660" s="2"/>
      <c r="F1660" s="3"/>
    </row>
    <row r="1661" spans="1:6" ht="15" customHeight="1" x14ac:dyDescent="0.2">
      <c r="A1661" s="9" t="s">
        <v>3863</v>
      </c>
      <c r="B1661" s="9" t="s">
        <v>3864</v>
      </c>
      <c r="C1661" s="9" t="s">
        <v>2678</v>
      </c>
      <c r="D1661" s="8"/>
      <c r="E1661" s="8"/>
      <c r="F1661" s="9"/>
    </row>
    <row r="1662" spans="1:6" ht="15" customHeight="1" x14ac:dyDescent="0.2">
      <c r="A1662" s="3" t="s">
        <v>3865</v>
      </c>
      <c r="B1662" s="3" t="s">
        <v>3862</v>
      </c>
      <c r="C1662" s="3" t="s">
        <v>2678</v>
      </c>
      <c r="D1662" s="2"/>
      <c r="E1662" s="2"/>
      <c r="F1662" s="3"/>
    </row>
    <row r="1663" spans="1:6" ht="15" customHeight="1" x14ac:dyDescent="0.2">
      <c r="A1663" s="9" t="s">
        <v>3866</v>
      </c>
      <c r="B1663" s="9" t="s">
        <v>3867</v>
      </c>
      <c r="C1663" s="9" t="s">
        <v>2678</v>
      </c>
      <c r="D1663" s="8"/>
      <c r="E1663" s="8"/>
      <c r="F1663" s="9"/>
    </row>
    <row r="1664" spans="1:6" ht="15" customHeight="1" x14ac:dyDescent="0.2">
      <c r="A1664" s="3" t="s">
        <v>3868</v>
      </c>
      <c r="B1664" s="3" t="s">
        <v>3869</v>
      </c>
      <c r="C1664" s="3" t="s">
        <v>2678</v>
      </c>
      <c r="D1664" s="2"/>
      <c r="E1664" s="2"/>
      <c r="F1664" s="3"/>
    </row>
    <row r="1665" spans="1:6" ht="15" customHeight="1" x14ac:dyDescent="0.2">
      <c r="A1665" s="9" t="s">
        <v>3870</v>
      </c>
      <c r="B1665" s="9" t="s">
        <v>3871</v>
      </c>
      <c r="C1665" s="9" t="s">
        <v>2678</v>
      </c>
      <c r="D1665" s="8"/>
      <c r="E1665" s="8"/>
      <c r="F1665" s="9"/>
    </row>
    <row r="1666" spans="1:6" ht="15" customHeight="1" x14ac:dyDescent="0.2">
      <c r="A1666" s="3" t="s">
        <v>3872</v>
      </c>
      <c r="B1666" s="3" t="s">
        <v>3873</v>
      </c>
      <c r="C1666" s="3" t="s">
        <v>2678</v>
      </c>
      <c r="D1666" s="2"/>
      <c r="E1666" s="2"/>
      <c r="F1666" s="3"/>
    </row>
    <row r="1667" spans="1:6" ht="15" customHeight="1" x14ac:dyDescent="0.2">
      <c r="A1667" s="9" t="s">
        <v>3874</v>
      </c>
      <c r="B1667" s="9" t="s">
        <v>3875</v>
      </c>
      <c r="C1667" s="9" t="s">
        <v>2678</v>
      </c>
      <c r="D1667" s="8"/>
      <c r="E1667" s="8"/>
      <c r="F1667" s="9"/>
    </row>
    <row r="1668" spans="1:6" ht="15" customHeight="1" x14ac:dyDescent="0.2">
      <c r="A1668" s="3" t="s">
        <v>3876</v>
      </c>
      <c r="B1668" s="3" t="s">
        <v>3877</v>
      </c>
      <c r="C1668" s="3" t="s">
        <v>2678</v>
      </c>
      <c r="D1668" s="2"/>
      <c r="E1668" s="2"/>
      <c r="F1668" s="3"/>
    </row>
    <row r="1669" spans="1:6" ht="15" customHeight="1" x14ac:dyDescent="0.2">
      <c r="A1669" s="9" t="s">
        <v>3878</v>
      </c>
      <c r="B1669" s="9" t="s">
        <v>3879</v>
      </c>
      <c r="C1669" s="9" t="s">
        <v>2678</v>
      </c>
      <c r="D1669" s="8"/>
      <c r="E1669" s="8"/>
      <c r="F1669" s="9"/>
    </row>
    <row r="1670" spans="1:6" ht="15" customHeight="1" x14ac:dyDescent="0.2">
      <c r="A1670" s="3" t="s">
        <v>3880</v>
      </c>
      <c r="B1670" s="3" t="s">
        <v>3881</v>
      </c>
      <c r="C1670" s="3" t="s">
        <v>2678</v>
      </c>
      <c r="D1670" s="2"/>
      <c r="E1670" s="2"/>
      <c r="F1670" s="3"/>
    </row>
    <row r="1671" spans="1:6" ht="15" customHeight="1" x14ac:dyDescent="0.2">
      <c r="A1671" s="9" t="s">
        <v>3882</v>
      </c>
      <c r="B1671" s="9" t="s">
        <v>3883</v>
      </c>
      <c r="C1671" s="9" t="s">
        <v>2678</v>
      </c>
      <c r="D1671" s="8"/>
      <c r="E1671" s="8"/>
      <c r="F1671" s="9"/>
    </row>
    <row r="1672" spans="1:6" ht="15" customHeight="1" x14ac:dyDescent="0.2">
      <c r="A1672" s="3" t="s">
        <v>3884</v>
      </c>
      <c r="B1672" s="3" t="s">
        <v>3885</v>
      </c>
      <c r="C1672" s="3" t="s">
        <v>2678</v>
      </c>
      <c r="D1672" s="2"/>
      <c r="E1672" s="2"/>
      <c r="F1672" s="3"/>
    </row>
    <row r="1673" spans="1:6" ht="15" customHeight="1" x14ac:dyDescent="0.2">
      <c r="A1673" s="9" t="s">
        <v>3886</v>
      </c>
      <c r="B1673" s="9" t="s">
        <v>3887</v>
      </c>
      <c r="C1673" s="9" t="s">
        <v>2678</v>
      </c>
      <c r="D1673" s="8"/>
      <c r="E1673" s="8"/>
      <c r="F1673" s="9"/>
    </row>
    <row r="1674" spans="1:6" ht="15" customHeight="1" x14ac:dyDescent="0.2">
      <c r="A1674" s="3" t="s">
        <v>3888</v>
      </c>
      <c r="B1674" s="3" t="s">
        <v>3889</v>
      </c>
      <c r="C1674" s="3" t="s">
        <v>2678</v>
      </c>
      <c r="D1674" s="2"/>
      <c r="E1674" s="2"/>
      <c r="F1674" s="3"/>
    </row>
    <row r="1675" spans="1:6" ht="15" customHeight="1" x14ac:dyDescent="0.2">
      <c r="A1675" s="9" t="s">
        <v>3890</v>
      </c>
      <c r="B1675" s="9" t="s">
        <v>3891</v>
      </c>
      <c r="C1675" s="9" t="s">
        <v>2678</v>
      </c>
      <c r="D1675" s="8"/>
      <c r="E1675" s="8"/>
      <c r="F1675" s="9"/>
    </row>
    <row r="1676" spans="1:6" ht="15" customHeight="1" x14ac:dyDescent="0.2">
      <c r="A1676" s="3" t="s">
        <v>3892</v>
      </c>
      <c r="B1676" s="3" t="s">
        <v>3893</v>
      </c>
      <c r="C1676" s="3" t="s">
        <v>2678</v>
      </c>
      <c r="D1676" s="2"/>
      <c r="E1676" s="2"/>
      <c r="F1676" s="3"/>
    </row>
    <row r="1677" spans="1:6" ht="15" customHeight="1" x14ac:dyDescent="0.2">
      <c r="A1677" s="9" t="s">
        <v>3894</v>
      </c>
      <c r="B1677" s="9" t="s">
        <v>3895</v>
      </c>
      <c r="C1677" s="9" t="s">
        <v>2678</v>
      </c>
      <c r="D1677" s="8"/>
      <c r="E1677" s="8"/>
      <c r="F1677" s="9"/>
    </row>
    <row r="1678" spans="1:6" ht="15" customHeight="1" x14ac:dyDescent="0.2">
      <c r="A1678" s="3" t="s">
        <v>3896</v>
      </c>
      <c r="B1678" s="3" t="s">
        <v>3897</v>
      </c>
      <c r="C1678" s="3" t="s">
        <v>2678</v>
      </c>
      <c r="D1678" s="2"/>
      <c r="E1678" s="2"/>
      <c r="F1678" s="3"/>
    </row>
    <row r="1679" spans="1:6" ht="15" customHeight="1" x14ac:dyDescent="0.2">
      <c r="A1679" s="9" t="s">
        <v>3898</v>
      </c>
      <c r="B1679" s="9" t="s">
        <v>3899</v>
      </c>
      <c r="C1679" s="9" t="s">
        <v>2678</v>
      </c>
      <c r="D1679" s="8"/>
      <c r="E1679" s="8"/>
      <c r="F1679" s="9"/>
    </row>
    <row r="1680" spans="1:6" ht="15" customHeight="1" x14ac:dyDescent="0.2">
      <c r="A1680" s="3" t="s">
        <v>3900</v>
      </c>
      <c r="B1680" s="3" t="s">
        <v>3901</v>
      </c>
      <c r="C1680" s="3" t="s">
        <v>2678</v>
      </c>
      <c r="D1680" s="2"/>
      <c r="E1680" s="2"/>
      <c r="F1680" s="3"/>
    </row>
    <row r="1681" spans="1:6" ht="15" customHeight="1" x14ac:dyDescent="0.2">
      <c r="A1681" s="9" t="s">
        <v>3902</v>
      </c>
      <c r="B1681" s="9" t="s">
        <v>3903</v>
      </c>
      <c r="C1681" s="9" t="s">
        <v>2678</v>
      </c>
      <c r="D1681" s="8"/>
      <c r="E1681" s="8"/>
      <c r="F1681" s="9"/>
    </row>
    <row r="1682" spans="1:6" ht="15" customHeight="1" x14ac:dyDescent="0.2">
      <c r="A1682" s="3" t="s">
        <v>3904</v>
      </c>
      <c r="B1682" s="3" t="s">
        <v>3905</v>
      </c>
      <c r="C1682" s="3" t="s">
        <v>2678</v>
      </c>
      <c r="D1682" s="2"/>
      <c r="E1682" s="2"/>
      <c r="F1682" s="3"/>
    </row>
    <row r="1683" spans="1:6" ht="15" customHeight="1" x14ac:dyDescent="0.2">
      <c r="A1683" s="9" t="s">
        <v>3906</v>
      </c>
      <c r="B1683" s="9" t="s">
        <v>3907</v>
      </c>
      <c r="C1683" s="9" t="s">
        <v>2678</v>
      </c>
      <c r="D1683" s="8"/>
      <c r="E1683" s="8"/>
      <c r="F1683" s="9"/>
    </row>
    <row r="1684" spans="1:6" ht="15" customHeight="1" x14ac:dyDescent="0.2">
      <c r="A1684" s="3" t="s">
        <v>3908</v>
      </c>
      <c r="B1684" s="3" t="s">
        <v>3909</v>
      </c>
      <c r="C1684" s="3" t="s">
        <v>2678</v>
      </c>
      <c r="D1684" s="2"/>
      <c r="E1684" s="2"/>
      <c r="F1684" s="3"/>
    </row>
    <row r="1685" spans="1:6" ht="15" customHeight="1" x14ac:dyDescent="0.2">
      <c r="A1685" s="9" t="s">
        <v>3910</v>
      </c>
      <c r="B1685" s="9" t="s">
        <v>3911</v>
      </c>
      <c r="C1685" s="9" t="s">
        <v>2678</v>
      </c>
      <c r="D1685" s="8"/>
      <c r="E1685" s="8"/>
      <c r="F1685" s="9"/>
    </row>
    <row r="1686" spans="1:6" ht="15" customHeight="1" x14ac:dyDescent="0.2">
      <c r="A1686" s="3" t="s">
        <v>3912</v>
      </c>
      <c r="B1686" s="3" t="s">
        <v>3913</v>
      </c>
      <c r="C1686" s="3" t="s">
        <v>2678</v>
      </c>
      <c r="D1686" s="2"/>
      <c r="E1686" s="2"/>
      <c r="F1686" s="3"/>
    </row>
    <row r="1687" spans="1:6" ht="15" customHeight="1" x14ac:dyDescent="0.2">
      <c r="A1687" s="9" t="s">
        <v>3914</v>
      </c>
      <c r="B1687" s="9" t="s">
        <v>3915</v>
      </c>
      <c r="C1687" s="9" t="s">
        <v>2678</v>
      </c>
      <c r="D1687" s="8"/>
      <c r="E1687" s="8"/>
      <c r="F1687" s="9"/>
    </row>
    <row r="1688" spans="1:6" ht="15" customHeight="1" x14ac:dyDescent="0.2">
      <c r="A1688" s="3" t="s">
        <v>3916</v>
      </c>
      <c r="B1688" s="3" t="s">
        <v>3917</v>
      </c>
      <c r="C1688" s="3" t="s">
        <v>2678</v>
      </c>
      <c r="D1688" s="2"/>
      <c r="E1688" s="2"/>
      <c r="F1688" s="3"/>
    </row>
    <row r="1689" spans="1:6" ht="15" customHeight="1" x14ac:dyDescent="0.2">
      <c r="A1689" s="9" t="s">
        <v>3918</v>
      </c>
      <c r="B1689" s="9" t="s">
        <v>3919</v>
      </c>
      <c r="C1689" s="9" t="s">
        <v>2678</v>
      </c>
      <c r="D1689" s="8"/>
      <c r="E1689" s="8"/>
      <c r="F1689" s="9"/>
    </row>
    <row r="1690" spans="1:6" ht="15" customHeight="1" x14ac:dyDescent="0.2">
      <c r="A1690" s="3" t="s">
        <v>3920</v>
      </c>
      <c r="B1690" s="3" t="s">
        <v>3921</v>
      </c>
      <c r="C1690" s="3" t="s">
        <v>2678</v>
      </c>
      <c r="D1690" s="2"/>
      <c r="E1690" s="2"/>
      <c r="F1690" s="3"/>
    </row>
    <row r="1691" spans="1:6" ht="15" customHeight="1" x14ac:dyDescent="0.2">
      <c r="A1691" s="9" t="s">
        <v>3922</v>
      </c>
      <c r="B1691" s="9" t="s">
        <v>3923</v>
      </c>
      <c r="C1691" s="9" t="s">
        <v>2678</v>
      </c>
      <c r="D1691" s="8"/>
      <c r="E1691" s="8"/>
      <c r="F1691" s="9"/>
    </row>
    <row r="1692" spans="1:6" ht="15" customHeight="1" x14ac:dyDescent="0.2">
      <c r="A1692" s="3" t="s">
        <v>3924</v>
      </c>
      <c r="B1692" s="3" t="s">
        <v>3925</v>
      </c>
      <c r="C1692" s="3" t="s">
        <v>2678</v>
      </c>
      <c r="D1692" s="2"/>
      <c r="E1692" s="2"/>
      <c r="F1692" s="3"/>
    </row>
    <row r="1693" spans="1:6" ht="15" customHeight="1" x14ac:dyDescent="0.2">
      <c r="A1693" s="9" t="s">
        <v>3926</v>
      </c>
      <c r="B1693" s="9" t="s">
        <v>3927</v>
      </c>
      <c r="C1693" s="9" t="s">
        <v>3928</v>
      </c>
      <c r="D1693" s="8"/>
      <c r="E1693" s="8"/>
      <c r="F1693" s="9"/>
    </row>
    <row r="1694" spans="1:6" ht="15" customHeight="1" x14ac:dyDescent="0.2">
      <c r="A1694" s="3" t="s">
        <v>3929</v>
      </c>
      <c r="B1694" s="3" t="s">
        <v>3930</v>
      </c>
      <c r="C1694" s="3" t="s">
        <v>3928</v>
      </c>
      <c r="D1694" s="2"/>
      <c r="E1694" s="2"/>
      <c r="F1694" s="3"/>
    </row>
    <row r="1695" spans="1:6" ht="15" customHeight="1" x14ac:dyDescent="0.2">
      <c r="A1695" s="9" t="s">
        <v>3931</v>
      </c>
      <c r="B1695" s="9" t="s">
        <v>3932</v>
      </c>
      <c r="C1695" s="9" t="s">
        <v>3928</v>
      </c>
      <c r="D1695" s="8"/>
      <c r="E1695" s="8"/>
      <c r="F1695" s="9"/>
    </row>
    <row r="1696" spans="1:6" ht="15" customHeight="1" x14ac:dyDescent="0.2">
      <c r="A1696" s="3" t="s">
        <v>3933</v>
      </c>
      <c r="B1696" s="3" t="s">
        <v>3934</v>
      </c>
      <c r="C1696" s="3" t="s">
        <v>3928</v>
      </c>
      <c r="D1696" s="2"/>
      <c r="E1696" s="2"/>
      <c r="F1696" s="3"/>
    </row>
    <row r="1697" spans="1:6" ht="15" customHeight="1" x14ac:dyDescent="0.2">
      <c r="A1697" s="9" t="s">
        <v>3935</v>
      </c>
      <c r="B1697" s="9" t="s">
        <v>3936</v>
      </c>
      <c r="C1697" s="9" t="s">
        <v>3928</v>
      </c>
      <c r="D1697" s="8"/>
      <c r="E1697" s="8"/>
      <c r="F1697" s="9"/>
    </row>
    <row r="1698" spans="1:6" ht="15" customHeight="1" x14ac:dyDescent="0.2">
      <c r="A1698" s="3" t="s">
        <v>3937</v>
      </c>
      <c r="B1698" s="3" t="s">
        <v>3938</v>
      </c>
      <c r="C1698" s="3" t="s">
        <v>3928</v>
      </c>
      <c r="D1698" s="2"/>
      <c r="E1698" s="2"/>
      <c r="F1698" s="3"/>
    </row>
    <row r="1699" spans="1:6" ht="15" customHeight="1" x14ac:dyDescent="0.2">
      <c r="A1699" s="9" t="s">
        <v>3939</v>
      </c>
      <c r="B1699" s="9" t="s">
        <v>3940</v>
      </c>
      <c r="C1699" s="9" t="s">
        <v>3928</v>
      </c>
      <c r="D1699" s="8"/>
      <c r="E1699" s="8"/>
      <c r="F1699" s="9"/>
    </row>
    <row r="1700" spans="1:6" ht="15" customHeight="1" x14ac:dyDescent="0.2">
      <c r="A1700" s="3" t="s">
        <v>3941</v>
      </c>
      <c r="B1700" s="3" t="s">
        <v>3942</v>
      </c>
      <c r="C1700" s="3" t="s">
        <v>3928</v>
      </c>
      <c r="D1700" s="2"/>
      <c r="E1700" s="2"/>
      <c r="F1700" s="3"/>
    </row>
    <row r="1701" spans="1:6" ht="15" customHeight="1" x14ac:dyDescent="0.2">
      <c r="A1701" s="9" t="s">
        <v>3943</v>
      </c>
      <c r="B1701" s="9" t="s">
        <v>3944</v>
      </c>
      <c r="C1701" s="9" t="s">
        <v>3928</v>
      </c>
      <c r="D1701" s="8"/>
      <c r="E1701" s="8"/>
      <c r="F1701" s="9"/>
    </row>
    <row r="1702" spans="1:6" ht="15" customHeight="1" x14ac:dyDescent="0.2">
      <c r="A1702" s="3" t="s">
        <v>3945</v>
      </c>
      <c r="B1702" s="3" t="s">
        <v>3946</v>
      </c>
      <c r="C1702" s="3" t="s">
        <v>3928</v>
      </c>
      <c r="D1702" s="2"/>
      <c r="E1702" s="2"/>
      <c r="F1702" s="3"/>
    </row>
    <row r="1703" spans="1:6" ht="15" customHeight="1" x14ac:dyDescent="0.2">
      <c r="A1703" s="9" t="s">
        <v>3947</v>
      </c>
      <c r="B1703" s="9" t="s">
        <v>3948</v>
      </c>
      <c r="C1703" s="9" t="s">
        <v>3928</v>
      </c>
      <c r="D1703" s="8"/>
      <c r="E1703" s="8"/>
      <c r="F1703" s="9"/>
    </row>
    <row r="1704" spans="1:6" ht="15" customHeight="1" x14ac:dyDescent="0.2">
      <c r="A1704" s="3" t="s">
        <v>3949</v>
      </c>
      <c r="B1704" s="3" t="s">
        <v>3950</v>
      </c>
      <c r="C1704" s="3" t="s">
        <v>3928</v>
      </c>
      <c r="D1704" s="2"/>
      <c r="E1704" s="2"/>
      <c r="F1704" s="3"/>
    </row>
    <row r="1705" spans="1:6" ht="15" customHeight="1" x14ac:dyDescent="0.2">
      <c r="A1705" s="9" t="s">
        <v>3951</v>
      </c>
      <c r="B1705" s="9" t="s">
        <v>3952</v>
      </c>
      <c r="C1705" s="9" t="s">
        <v>3928</v>
      </c>
      <c r="D1705" s="8"/>
      <c r="E1705" s="8"/>
      <c r="F1705" s="9"/>
    </row>
    <row r="1706" spans="1:6" ht="15" customHeight="1" x14ac:dyDescent="0.2">
      <c r="A1706" s="3" t="s">
        <v>3953</v>
      </c>
      <c r="B1706" s="3" t="s">
        <v>3061</v>
      </c>
      <c r="C1706" s="3" t="s">
        <v>3928</v>
      </c>
      <c r="D1706" s="2"/>
      <c r="E1706" s="2"/>
      <c r="F1706" s="3"/>
    </row>
    <row r="1707" spans="1:6" ht="15" customHeight="1" x14ac:dyDescent="0.2">
      <c r="A1707" s="9" t="s">
        <v>3954</v>
      </c>
      <c r="B1707" s="9" t="s">
        <v>3955</v>
      </c>
      <c r="C1707" s="9" t="s">
        <v>3928</v>
      </c>
      <c r="D1707" s="8"/>
      <c r="E1707" s="8"/>
      <c r="F1707" s="9"/>
    </row>
    <row r="1708" spans="1:6" ht="15" customHeight="1" x14ac:dyDescent="0.2">
      <c r="A1708" s="3" t="s">
        <v>3956</v>
      </c>
      <c r="B1708" s="3" t="s">
        <v>3957</v>
      </c>
      <c r="C1708" s="3" t="s">
        <v>3928</v>
      </c>
      <c r="D1708" s="2"/>
      <c r="E1708" s="2"/>
      <c r="F1708" s="3"/>
    </row>
    <row r="1709" spans="1:6" ht="15" customHeight="1" x14ac:dyDescent="0.2">
      <c r="A1709" s="9" t="s">
        <v>3958</v>
      </c>
      <c r="B1709" s="9" t="s">
        <v>3959</v>
      </c>
      <c r="C1709" s="9" t="s">
        <v>3928</v>
      </c>
      <c r="D1709" s="8"/>
      <c r="E1709" s="8"/>
      <c r="F1709" s="9"/>
    </row>
    <row r="1710" spans="1:6" ht="15" customHeight="1" x14ac:dyDescent="0.2">
      <c r="A1710" s="3" t="s">
        <v>3960</v>
      </c>
      <c r="B1710" s="3" t="s">
        <v>3961</v>
      </c>
      <c r="C1710" s="3" t="s">
        <v>3928</v>
      </c>
      <c r="D1710" s="2"/>
      <c r="E1710" s="2"/>
      <c r="F1710" s="3"/>
    </row>
    <row r="1711" spans="1:6" ht="15" customHeight="1" x14ac:dyDescent="0.2">
      <c r="A1711" s="9" t="s">
        <v>3962</v>
      </c>
      <c r="B1711" s="9" t="s">
        <v>3963</v>
      </c>
      <c r="C1711" s="9" t="s">
        <v>3928</v>
      </c>
      <c r="D1711" s="8"/>
      <c r="E1711" s="8"/>
      <c r="F1711" s="9"/>
    </row>
    <row r="1712" spans="1:6" ht="15" customHeight="1" x14ac:dyDescent="0.2">
      <c r="A1712" s="3" t="s">
        <v>3964</v>
      </c>
      <c r="B1712" s="3" t="s">
        <v>3965</v>
      </c>
      <c r="C1712" s="3" t="s">
        <v>3928</v>
      </c>
      <c r="D1712" s="2"/>
      <c r="E1712" s="2"/>
      <c r="F1712" s="3"/>
    </row>
    <row r="1713" spans="1:6" ht="15" customHeight="1" x14ac:dyDescent="0.2">
      <c r="A1713" s="9" t="s">
        <v>3966</v>
      </c>
      <c r="B1713" s="9" t="s">
        <v>3967</v>
      </c>
      <c r="C1713" s="9" t="s">
        <v>3928</v>
      </c>
      <c r="D1713" s="8"/>
      <c r="E1713" s="8"/>
      <c r="F1713" s="9"/>
    </row>
    <row r="1714" spans="1:6" ht="15" customHeight="1" x14ac:dyDescent="0.2">
      <c r="A1714" s="3" t="s">
        <v>3968</v>
      </c>
      <c r="B1714" s="3" t="s">
        <v>3969</v>
      </c>
      <c r="C1714" s="3" t="s">
        <v>3928</v>
      </c>
      <c r="D1714" s="2"/>
      <c r="E1714" s="2"/>
      <c r="F1714" s="3"/>
    </row>
    <row r="1715" spans="1:6" ht="15" customHeight="1" x14ac:dyDescent="0.2">
      <c r="A1715" s="9" t="s">
        <v>3970</v>
      </c>
      <c r="B1715" s="9" t="s">
        <v>3971</v>
      </c>
      <c r="C1715" s="9" t="s">
        <v>3928</v>
      </c>
      <c r="D1715" s="8"/>
      <c r="E1715" s="8"/>
      <c r="F1715" s="9"/>
    </row>
    <row r="1716" spans="1:6" ht="15" customHeight="1" x14ac:dyDescent="0.2">
      <c r="A1716" s="3" t="s">
        <v>3972</v>
      </c>
      <c r="B1716" s="3" t="s">
        <v>3973</v>
      </c>
      <c r="C1716" s="3" t="s">
        <v>3928</v>
      </c>
      <c r="D1716" s="2"/>
      <c r="E1716" s="2"/>
      <c r="F1716" s="3"/>
    </row>
    <row r="1717" spans="1:6" ht="15" customHeight="1" x14ac:dyDescent="0.2">
      <c r="A1717" s="9" t="s">
        <v>3974</v>
      </c>
      <c r="B1717" s="9" t="s">
        <v>3975</v>
      </c>
      <c r="C1717" s="9" t="s">
        <v>3976</v>
      </c>
      <c r="D1717" s="8"/>
      <c r="E1717" s="8"/>
      <c r="F1717" s="9"/>
    </row>
    <row r="1718" spans="1:6" ht="15" customHeight="1" x14ac:dyDescent="0.2">
      <c r="A1718" s="3" t="s">
        <v>3977</v>
      </c>
      <c r="B1718" s="3" t="s">
        <v>3978</v>
      </c>
      <c r="C1718" s="3" t="s">
        <v>3976</v>
      </c>
      <c r="D1718" s="2"/>
      <c r="E1718" s="2"/>
      <c r="F1718" s="3"/>
    </row>
    <row r="1719" spans="1:6" ht="15" customHeight="1" x14ac:dyDescent="0.2">
      <c r="A1719" s="9" t="s">
        <v>3979</v>
      </c>
      <c r="B1719" s="9" t="s">
        <v>3980</v>
      </c>
      <c r="C1719" s="9" t="s">
        <v>3976</v>
      </c>
      <c r="D1719" s="8"/>
      <c r="E1719" s="8"/>
      <c r="F1719" s="9"/>
    </row>
    <row r="1720" spans="1:6" ht="15" customHeight="1" x14ac:dyDescent="0.2">
      <c r="A1720" s="3" t="s">
        <v>3981</v>
      </c>
      <c r="B1720" s="3" t="s">
        <v>3982</v>
      </c>
      <c r="C1720" s="3" t="s">
        <v>3976</v>
      </c>
      <c r="D1720" s="2"/>
      <c r="E1720" s="2"/>
      <c r="F1720" s="3"/>
    </row>
    <row r="1721" spans="1:6" ht="15" customHeight="1" x14ac:dyDescent="0.2">
      <c r="A1721" s="9" t="s">
        <v>3983</v>
      </c>
      <c r="B1721" s="9" t="s">
        <v>3984</v>
      </c>
      <c r="C1721" s="9" t="s">
        <v>3976</v>
      </c>
      <c r="D1721" s="8"/>
      <c r="E1721" s="8"/>
      <c r="F1721" s="9"/>
    </row>
    <row r="1722" spans="1:6" ht="15" customHeight="1" x14ac:dyDescent="0.2">
      <c r="A1722" s="3" t="s">
        <v>3985</v>
      </c>
      <c r="B1722" s="3" t="s">
        <v>3986</v>
      </c>
      <c r="C1722" s="3" t="s">
        <v>3976</v>
      </c>
      <c r="D1722" s="2"/>
      <c r="E1722" s="2"/>
      <c r="F1722" s="3"/>
    </row>
    <row r="1723" spans="1:6" ht="15" customHeight="1" x14ac:dyDescent="0.2">
      <c r="A1723" s="9" t="s">
        <v>3987</v>
      </c>
      <c r="B1723" s="9" t="s">
        <v>3988</v>
      </c>
      <c r="C1723" s="9" t="s">
        <v>3976</v>
      </c>
      <c r="D1723" s="8"/>
      <c r="E1723" s="8"/>
      <c r="F1723" s="9"/>
    </row>
    <row r="1724" spans="1:6" ht="15" customHeight="1" x14ac:dyDescent="0.2">
      <c r="A1724" s="3" t="s">
        <v>3989</v>
      </c>
      <c r="B1724" s="3" t="s">
        <v>3990</v>
      </c>
      <c r="C1724" s="3" t="s">
        <v>3976</v>
      </c>
      <c r="D1724" s="2"/>
      <c r="E1724" s="2"/>
      <c r="F1724" s="3"/>
    </row>
    <row r="1725" spans="1:6" ht="15" customHeight="1" x14ac:dyDescent="0.2">
      <c r="A1725" s="9" t="s">
        <v>3991</v>
      </c>
      <c r="B1725" s="9" t="s">
        <v>3992</v>
      </c>
      <c r="C1725" s="9" t="s">
        <v>3976</v>
      </c>
      <c r="D1725" s="8"/>
      <c r="E1725" s="8"/>
      <c r="F1725" s="9"/>
    </row>
    <row r="1726" spans="1:6" ht="15" customHeight="1" x14ac:dyDescent="0.2">
      <c r="A1726" s="3" t="s">
        <v>3993</v>
      </c>
      <c r="B1726" s="3" t="s">
        <v>3994</v>
      </c>
      <c r="C1726" s="3" t="s">
        <v>3976</v>
      </c>
      <c r="D1726" s="2"/>
      <c r="E1726" s="2"/>
      <c r="F1726" s="3"/>
    </row>
    <row r="1727" spans="1:6" ht="15" customHeight="1" x14ac:dyDescent="0.2">
      <c r="A1727" s="9" t="s">
        <v>3995</v>
      </c>
      <c r="B1727" s="9" t="s">
        <v>3996</v>
      </c>
      <c r="C1727" s="9" t="s">
        <v>3976</v>
      </c>
      <c r="D1727" s="8"/>
      <c r="E1727" s="8"/>
      <c r="F1727" s="9"/>
    </row>
    <row r="1728" spans="1:6" ht="15" customHeight="1" x14ac:dyDescent="0.2">
      <c r="A1728" s="3" t="s">
        <v>3997</v>
      </c>
      <c r="B1728" s="3" t="s">
        <v>3998</v>
      </c>
      <c r="C1728" s="3" t="s">
        <v>3976</v>
      </c>
      <c r="D1728" s="2"/>
      <c r="E1728" s="2"/>
      <c r="F1728" s="3"/>
    </row>
    <row r="1729" spans="1:6" ht="15" customHeight="1" x14ac:dyDescent="0.2">
      <c r="A1729" s="9" t="s">
        <v>3999</v>
      </c>
      <c r="B1729" s="9" t="s">
        <v>4000</v>
      </c>
      <c r="C1729" s="9" t="s">
        <v>3976</v>
      </c>
      <c r="D1729" s="8"/>
      <c r="E1729" s="8"/>
      <c r="F1729" s="9"/>
    </row>
    <row r="1730" spans="1:6" ht="15" customHeight="1" x14ac:dyDescent="0.2">
      <c r="A1730" s="3" t="s">
        <v>4001</v>
      </c>
      <c r="B1730" s="3" t="s">
        <v>4002</v>
      </c>
      <c r="C1730" s="3" t="s">
        <v>3976</v>
      </c>
      <c r="D1730" s="2"/>
      <c r="E1730" s="2"/>
      <c r="F1730" s="3"/>
    </row>
    <row r="1731" spans="1:6" ht="15" customHeight="1" x14ac:dyDescent="0.2">
      <c r="A1731" s="9" t="s">
        <v>4003</v>
      </c>
      <c r="B1731" s="9" t="s">
        <v>4004</v>
      </c>
      <c r="C1731" s="9" t="s">
        <v>3976</v>
      </c>
      <c r="D1731" s="8"/>
      <c r="E1731" s="8"/>
      <c r="F1731" s="9"/>
    </row>
    <row r="1732" spans="1:6" ht="15" customHeight="1" x14ac:dyDescent="0.2">
      <c r="A1732" s="3" t="s">
        <v>4005</v>
      </c>
      <c r="B1732" s="3" t="s">
        <v>4006</v>
      </c>
      <c r="C1732" s="3" t="s">
        <v>3976</v>
      </c>
      <c r="D1732" s="2"/>
      <c r="E1732" s="2"/>
      <c r="F1732" s="3"/>
    </row>
  </sheetData>
  <autoFilter ref="A1:F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5"/>
  <sheetViews>
    <sheetView topLeftCell="A17" zoomScaleNormal="100" workbookViewId="0">
      <selection activeCell="B48" sqref="B48"/>
    </sheetView>
  </sheetViews>
  <sheetFormatPr baseColWidth="10" defaultColWidth="8.6640625" defaultRowHeight="15" x14ac:dyDescent="0.2"/>
  <cols>
    <col min="1" max="1" width="24" customWidth="1"/>
    <col min="2" max="2" width="42" customWidth="1"/>
    <col min="3" max="3" width="24" customWidth="1"/>
    <col min="4" max="4" width="22" customWidth="1"/>
  </cols>
  <sheetData>
    <row r="1" spans="1:4" ht="27.75" customHeight="1" x14ac:dyDescent="0.2">
      <c r="A1" s="40" t="s">
        <v>0</v>
      </c>
      <c r="B1" s="39"/>
      <c r="C1" s="39"/>
      <c r="D1" s="39"/>
    </row>
    <row r="2" spans="1:4" ht="7.5" customHeight="1" x14ac:dyDescent="0.2">
      <c r="A2" s="15"/>
      <c r="B2" s="15"/>
      <c r="C2" s="15"/>
      <c r="D2" s="15"/>
    </row>
    <row r="3" spans="1:4" ht="18" customHeight="1" x14ac:dyDescent="0.2">
      <c r="A3" s="41" t="s">
        <v>1</v>
      </c>
      <c r="B3" s="39"/>
      <c r="C3" s="39"/>
      <c r="D3" s="39"/>
    </row>
    <row r="4" spans="1:4" ht="15.75" customHeight="1" x14ac:dyDescent="0.2">
      <c r="A4" s="17" t="s">
        <v>2</v>
      </c>
      <c r="B4" s="18">
        <v>8526</v>
      </c>
      <c r="C4" s="17" t="s">
        <v>3</v>
      </c>
      <c r="D4" s="19">
        <f>COUNTA('📊 Results'!A:A)-1</f>
        <v>164</v>
      </c>
    </row>
    <row r="5" spans="1:4" ht="15.75" customHeight="1" x14ac:dyDescent="0.2">
      <c r="A5" s="20" t="s">
        <v>4</v>
      </c>
      <c r="B5" s="21"/>
      <c r="C5" s="20" t="s">
        <v>5</v>
      </c>
      <c r="D5" s="22">
        <f>COUNTIF('📊 Results'!H:H,"✅ Submitted")</f>
        <v>13</v>
      </c>
    </row>
    <row r="6" spans="1:4" ht="15.75" customHeight="1" x14ac:dyDescent="0.2">
      <c r="A6" s="17" t="s">
        <v>6</v>
      </c>
      <c r="B6" s="18">
        <v>13851</v>
      </c>
      <c r="C6" s="17" t="s">
        <v>7</v>
      </c>
      <c r="D6" s="19">
        <f>COUNTIF('📊 Results'!H:H,"❌ Rejected")</f>
        <v>121</v>
      </c>
    </row>
    <row r="7" spans="1:4" ht="15.75" customHeight="1" x14ac:dyDescent="0.2">
      <c r="A7" s="20" t="s">
        <v>8</v>
      </c>
      <c r="B7" s="21">
        <v>8017</v>
      </c>
      <c r="C7" s="20" t="s">
        <v>9</v>
      </c>
      <c r="D7" s="22">
        <f>MAX('📊 Results'!D:D)</f>
        <v>2.1</v>
      </c>
    </row>
    <row r="8" spans="1:4" ht="15.75" customHeight="1" x14ac:dyDescent="0.2">
      <c r="A8" s="17" t="s">
        <v>10</v>
      </c>
      <c r="B8" s="18" t="s">
        <v>11</v>
      </c>
      <c r="C8" s="17" t="s">
        <v>12</v>
      </c>
      <c r="D8" s="19">
        <f>MAX('📊 Results'!E:E)</f>
        <v>1.88</v>
      </c>
    </row>
    <row r="9" spans="1:4" ht="15.75" customHeight="1" x14ac:dyDescent="0.2">
      <c r="A9" s="20" t="s">
        <v>13</v>
      </c>
      <c r="B9" s="21">
        <f ca="1">DATE(2026,5,19)-TODAY()</f>
        <v>5</v>
      </c>
      <c r="C9" s="20" t="s">
        <v>14</v>
      </c>
      <c r="D9" s="22">
        <f>COUNTA(WQ_Brain_Tracker_Session20!A:A)-1</f>
        <v>1731</v>
      </c>
    </row>
    <row r="10" spans="1:4" ht="7.5" customHeight="1" x14ac:dyDescent="0.2">
      <c r="A10" s="15"/>
      <c r="B10" s="15"/>
      <c r="C10" s="15"/>
      <c r="D10" s="15"/>
    </row>
    <row r="11" spans="1:4" ht="18" customHeight="1" x14ac:dyDescent="0.2">
      <c r="A11" s="41" t="s">
        <v>15</v>
      </c>
      <c r="B11" s="39"/>
      <c r="C11" s="39"/>
      <c r="D11" s="39"/>
    </row>
    <row r="12" spans="1:4" ht="15" customHeight="1" x14ac:dyDescent="0.2">
      <c r="A12" s="23" t="s">
        <v>16</v>
      </c>
      <c r="B12" s="23" t="s">
        <v>17</v>
      </c>
      <c r="C12" s="23" t="s">
        <v>18</v>
      </c>
      <c r="D12" s="23" t="s">
        <v>19</v>
      </c>
    </row>
    <row r="13" spans="1:4" ht="15.75" customHeight="1" x14ac:dyDescent="0.2">
      <c r="A13" s="13" t="s">
        <v>20</v>
      </c>
      <c r="B13" s="13" t="s">
        <v>21</v>
      </c>
      <c r="C13" s="13" t="s">
        <v>22</v>
      </c>
      <c r="D13" s="24" t="s">
        <v>23</v>
      </c>
    </row>
    <row r="14" spans="1:4" ht="15.75" customHeight="1" x14ac:dyDescent="0.2">
      <c r="A14" s="8" t="s">
        <v>24</v>
      </c>
      <c r="B14" s="25" t="s">
        <v>25</v>
      </c>
      <c r="C14" s="26" t="s">
        <v>26</v>
      </c>
      <c r="D14" s="9" t="s">
        <v>27</v>
      </c>
    </row>
    <row r="15" spans="1:4" ht="15.75" customHeight="1" x14ac:dyDescent="0.2">
      <c r="A15" s="2" t="s">
        <v>28</v>
      </c>
      <c r="B15" s="27" t="s">
        <v>29</v>
      </c>
      <c r="C15" s="28" t="s">
        <v>30</v>
      </c>
      <c r="D15" s="3" t="s">
        <v>31</v>
      </c>
    </row>
    <row r="16" spans="1:4" ht="15.75" customHeight="1" x14ac:dyDescent="0.2">
      <c r="A16" s="8" t="s">
        <v>32</v>
      </c>
      <c r="B16" s="25" t="s">
        <v>33</v>
      </c>
      <c r="C16" s="26" t="s">
        <v>26</v>
      </c>
      <c r="D16" s="9" t="s">
        <v>34</v>
      </c>
    </row>
    <row r="17" spans="1:4" ht="15.75" customHeight="1" x14ac:dyDescent="0.2">
      <c r="A17" s="2" t="s">
        <v>35</v>
      </c>
      <c r="B17" s="27" t="s">
        <v>36</v>
      </c>
      <c r="C17" s="28" t="s">
        <v>37</v>
      </c>
      <c r="D17" s="3" t="s">
        <v>38</v>
      </c>
    </row>
    <row r="18" spans="1:4" ht="15.75" customHeight="1" x14ac:dyDescent="0.2">
      <c r="A18" s="8" t="s">
        <v>39</v>
      </c>
      <c r="B18" s="25" t="s">
        <v>40</v>
      </c>
      <c r="C18" s="26" t="s">
        <v>41</v>
      </c>
      <c r="D18" s="9" t="s">
        <v>42</v>
      </c>
    </row>
    <row r="19" spans="1:4" ht="15.75" customHeight="1" x14ac:dyDescent="0.2">
      <c r="A19" s="2" t="s">
        <v>43</v>
      </c>
      <c r="B19" s="27" t="s">
        <v>44</v>
      </c>
      <c r="C19" s="28" t="s">
        <v>45</v>
      </c>
      <c r="D19" s="3" t="s">
        <v>46</v>
      </c>
    </row>
    <row r="20" spans="1:4" ht="15.75" customHeight="1" x14ac:dyDescent="0.2">
      <c r="A20" s="8" t="s">
        <v>47</v>
      </c>
      <c r="B20" s="25" t="s">
        <v>48</v>
      </c>
      <c r="C20" s="26" t="s">
        <v>45</v>
      </c>
      <c r="D20" s="9" t="s">
        <v>49</v>
      </c>
    </row>
    <row r="21" spans="1:4" ht="15.75" customHeight="1" x14ac:dyDescent="0.2">
      <c r="A21" s="2" t="s">
        <v>50</v>
      </c>
      <c r="B21" s="27" t="s">
        <v>51</v>
      </c>
      <c r="C21" s="28" t="s">
        <v>52</v>
      </c>
      <c r="D21" s="3" t="s">
        <v>53</v>
      </c>
    </row>
    <row r="22" spans="1:4" ht="15.75" customHeight="1" x14ac:dyDescent="0.2">
      <c r="A22" s="8" t="s">
        <v>54</v>
      </c>
      <c r="B22" s="25" t="s">
        <v>55</v>
      </c>
      <c r="C22" s="26"/>
      <c r="D22" s="9" t="s">
        <v>56</v>
      </c>
    </row>
    <row r="23" spans="1:4" ht="15.75" customHeight="1" x14ac:dyDescent="0.2">
      <c r="A23" s="2" t="s">
        <v>57</v>
      </c>
      <c r="B23" s="27" t="s">
        <v>58</v>
      </c>
      <c r="C23" s="28"/>
      <c r="D23" s="3" t="s">
        <v>59</v>
      </c>
    </row>
    <row r="24" spans="1:4" ht="15.75" customHeight="1" x14ac:dyDescent="0.2">
      <c r="A24" s="8"/>
      <c r="B24" s="25"/>
      <c r="C24" s="26"/>
      <c r="D24" s="9"/>
    </row>
    <row r="25" spans="1:4" ht="15.75" customHeight="1" x14ac:dyDescent="0.2">
      <c r="A25" s="2"/>
      <c r="B25" s="27"/>
      <c r="C25" s="28"/>
      <c r="D25" s="3"/>
    </row>
    <row r="26" spans="1:4" ht="7.5" customHeight="1" x14ac:dyDescent="0.2">
      <c r="A26" s="15"/>
      <c r="B26" s="15"/>
      <c r="C26" s="15"/>
      <c r="D26" s="15"/>
    </row>
    <row r="27" spans="1:4" ht="18" customHeight="1" x14ac:dyDescent="0.2">
      <c r="A27" s="41" t="s">
        <v>60</v>
      </c>
      <c r="B27" s="39"/>
      <c r="C27" s="39"/>
      <c r="D27" s="39"/>
    </row>
    <row r="28" spans="1:4" ht="15.75" customHeight="1" x14ac:dyDescent="0.2">
      <c r="A28" s="20" t="s">
        <v>61</v>
      </c>
      <c r="B28" s="21" t="s">
        <v>62</v>
      </c>
      <c r="C28" s="15"/>
      <c r="D28" s="15"/>
    </row>
    <row r="29" spans="1:4" ht="15.75" customHeight="1" x14ac:dyDescent="0.2">
      <c r="A29" s="17" t="s">
        <v>63</v>
      </c>
      <c r="B29" s="18" t="s">
        <v>64</v>
      </c>
      <c r="C29" s="29"/>
      <c r="D29" s="29"/>
    </row>
    <row r="30" spans="1:4" ht="15.75" customHeight="1" x14ac:dyDescent="0.2">
      <c r="A30" s="20" t="s">
        <v>65</v>
      </c>
      <c r="B30" s="21" t="s">
        <v>66</v>
      </c>
      <c r="C30" s="15"/>
      <c r="D30" s="15"/>
    </row>
    <row r="31" spans="1:4" ht="15.75" customHeight="1" x14ac:dyDescent="0.2">
      <c r="A31" s="17" t="s">
        <v>67</v>
      </c>
      <c r="B31" s="18" t="s">
        <v>68</v>
      </c>
      <c r="C31" s="29"/>
      <c r="D31" s="29"/>
    </row>
    <row r="32" spans="1:4" ht="15.75" customHeight="1" x14ac:dyDescent="0.2">
      <c r="A32" s="20" t="s">
        <v>69</v>
      </c>
      <c r="B32" s="21" t="s">
        <v>70</v>
      </c>
      <c r="C32" s="15"/>
      <c r="D32" s="15"/>
    </row>
    <row r="33" spans="1:4" ht="15.75" customHeight="1" x14ac:dyDescent="0.2">
      <c r="A33" s="17" t="s">
        <v>71</v>
      </c>
      <c r="B33" s="18" t="s">
        <v>72</v>
      </c>
      <c r="C33" s="29"/>
      <c r="D33" s="29"/>
    </row>
    <row r="34" spans="1:4" ht="15.75" customHeight="1" x14ac:dyDescent="0.2">
      <c r="A34" s="20" t="s">
        <v>73</v>
      </c>
      <c r="B34" s="21" t="s">
        <v>74</v>
      </c>
      <c r="C34" s="15"/>
      <c r="D34" s="15"/>
    </row>
    <row r="35" spans="1:4" ht="15.75" customHeight="1" x14ac:dyDescent="0.2">
      <c r="A35" s="17" t="s">
        <v>75</v>
      </c>
      <c r="B35" s="18" t="s">
        <v>76</v>
      </c>
      <c r="C35" s="29"/>
      <c r="D35" s="29"/>
    </row>
    <row r="36" spans="1:4" ht="7.5" customHeight="1" x14ac:dyDescent="0.2">
      <c r="A36" s="15"/>
      <c r="B36" s="15"/>
      <c r="C36" s="15"/>
      <c r="D36" s="15"/>
    </row>
    <row r="37" spans="1:4" ht="18" customHeight="1" x14ac:dyDescent="0.2">
      <c r="A37" s="41" t="s">
        <v>77</v>
      </c>
      <c r="B37" s="39"/>
      <c r="C37" s="39"/>
      <c r="D37" s="39"/>
    </row>
    <row r="38" spans="1:4" ht="15" customHeight="1" x14ac:dyDescent="0.2">
      <c r="A38" s="23" t="s">
        <v>78</v>
      </c>
      <c r="B38" s="23" t="s">
        <v>79</v>
      </c>
      <c r="C38" s="23" t="s">
        <v>80</v>
      </c>
      <c r="D38" s="23" t="s">
        <v>81</v>
      </c>
    </row>
    <row r="39" spans="1:4" ht="15.75" customHeight="1" x14ac:dyDescent="0.2">
      <c r="A39" s="30" t="s">
        <v>82</v>
      </c>
      <c r="B39" s="31" t="s">
        <v>83</v>
      </c>
      <c r="C39" s="32" t="s">
        <v>84</v>
      </c>
      <c r="D39" s="32" t="s">
        <v>85</v>
      </c>
    </row>
    <row r="40" spans="1:4" ht="15.75" customHeight="1" x14ac:dyDescent="0.2">
      <c r="A40" s="9" t="s">
        <v>86</v>
      </c>
      <c r="B40" s="33" t="s">
        <v>87</v>
      </c>
      <c r="C40" s="34" t="s">
        <v>88</v>
      </c>
      <c r="D40" s="34" t="s">
        <v>89</v>
      </c>
    </row>
    <row r="41" spans="1:4" ht="15.75" customHeight="1" x14ac:dyDescent="0.2">
      <c r="A41" s="3" t="s">
        <v>90</v>
      </c>
      <c r="B41" s="35" t="s">
        <v>91</v>
      </c>
      <c r="C41" s="36" t="s">
        <v>92</v>
      </c>
      <c r="D41" s="36" t="s">
        <v>93</v>
      </c>
    </row>
    <row r="42" spans="1:4" ht="15.75" customHeight="1" x14ac:dyDescent="0.2">
      <c r="A42" s="9" t="s">
        <v>94</v>
      </c>
      <c r="B42" s="33" t="s">
        <v>95</v>
      </c>
      <c r="C42" s="34" t="s">
        <v>96</v>
      </c>
      <c r="D42" s="34" t="s">
        <v>97</v>
      </c>
    </row>
    <row r="43" spans="1:4" ht="15.75" customHeight="1" x14ac:dyDescent="0.2">
      <c r="A43" s="3" t="s">
        <v>98</v>
      </c>
      <c r="B43" s="35" t="s">
        <v>99</v>
      </c>
      <c r="C43" s="36" t="s">
        <v>100</v>
      </c>
      <c r="D43" s="36" t="s">
        <v>101</v>
      </c>
    </row>
    <row r="44" spans="1:4" ht="7.5" customHeight="1" x14ac:dyDescent="0.2">
      <c r="A44" s="38" t="s">
        <v>102</v>
      </c>
      <c r="B44" s="38" t="s">
        <v>103</v>
      </c>
      <c r="C44" s="38" t="s">
        <v>104</v>
      </c>
      <c r="D44" s="38" t="s">
        <v>105</v>
      </c>
    </row>
    <row r="45" spans="1:4" ht="18" customHeight="1" x14ac:dyDescent="0.2">
      <c r="A45" s="39" t="s">
        <v>106</v>
      </c>
      <c r="B45" s="39" t="s">
        <v>107</v>
      </c>
      <c r="C45" s="39" t="s">
        <v>108</v>
      </c>
      <c r="D45" s="39" t="s">
        <v>109</v>
      </c>
    </row>
    <row r="46" spans="1:4" ht="15.75" customHeight="1" x14ac:dyDescent="0.2">
      <c r="A46" t="s">
        <v>110</v>
      </c>
      <c r="B46" t="s">
        <v>111</v>
      </c>
      <c r="C46" t="s">
        <v>112</v>
      </c>
      <c r="D46" t="s">
        <v>113</v>
      </c>
    </row>
    <row r="47" spans="1:4" ht="15.75" customHeight="1" x14ac:dyDescent="0.2">
      <c r="A47" s="38" t="s">
        <v>114</v>
      </c>
      <c r="B47" s="38" t="s">
        <v>115</v>
      </c>
      <c r="C47" s="38" t="s">
        <v>116</v>
      </c>
      <c r="D47" s="38" t="s">
        <v>117</v>
      </c>
    </row>
    <row r="48" spans="1:4" ht="15.75" customHeight="1" x14ac:dyDescent="0.2">
      <c r="A48" s="15"/>
      <c r="B48" s="15"/>
      <c r="C48" s="15"/>
      <c r="D48" s="15"/>
    </row>
    <row r="49" spans="1:4" ht="15.75" customHeight="1" x14ac:dyDescent="0.2">
      <c r="A49" s="16" t="s">
        <v>118</v>
      </c>
    </row>
    <row r="50" spans="1:4" ht="15.75" customHeight="1" x14ac:dyDescent="0.2">
      <c r="A50" s="17" t="s">
        <v>119</v>
      </c>
      <c r="B50" s="18" t="s">
        <v>120</v>
      </c>
      <c r="C50" s="29"/>
      <c r="D50" s="29"/>
    </row>
    <row r="51" spans="1:4" ht="15.75" customHeight="1" x14ac:dyDescent="0.2">
      <c r="A51" s="17" t="s">
        <v>121</v>
      </c>
      <c r="B51" s="18" t="s">
        <v>122</v>
      </c>
      <c r="C51" s="29"/>
      <c r="D51" s="29"/>
    </row>
    <row r="52" spans="1:4" x14ac:dyDescent="0.2">
      <c r="A52" s="20" t="s">
        <v>123</v>
      </c>
      <c r="B52" s="21" t="s">
        <v>124</v>
      </c>
      <c r="C52" s="15"/>
      <c r="D52" s="15"/>
    </row>
    <row r="53" spans="1:4" x14ac:dyDescent="0.2">
      <c r="A53" s="17" t="s">
        <v>125</v>
      </c>
      <c r="B53" s="18" t="s">
        <v>126</v>
      </c>
      <c r="C53" s="29"/>
      <c r="D53" s="29"/>
    </row>
    <row r="54" spans="1:4" ht="28" x14ac:dyDescent="0.2">
      <c r="A54" s="20" t="s">
        <v>127</v>
      </c>
      <c r="B54" s="21" t="s">
        <v>128</v>
      </c>
      <c r="C54" s="15"/>
      <c r="D54" s="15"/>
    </row>
    <row r="55" spans="1:4" ht="28" x14ac:dyDescent="0.2">
      <c r="A55" s="17" t="s">
        <v>129</v>
      </c>
      <c r="B55" s="18" t="s">
        <v>130</v>
      </c>
      <c r="C55" s="29"/>
      <c r="D55" s="29"/>
    </row>
  </sheetData>
  <mergeCells count="6">
    <mergeCell ref="A45:D45"/>
    <mergeCell ref="A1:D1"/>
    <mergeCell ref="A37:D37"/>
    <mergeCell ref="A27:D27"/>
    <mergeCell ref="A3:D3"/>
    <mergeCell ref="A11:D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 Results</vt:lpstr>
      <vt:lpstr>WQ_Brain_Tracker_Session20</vt:lpstr>
      <vt:lpst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Ppnutw Rp</cp:lastModifiedBy>
  <cp:revision>0</cp:revision>
  <dcterms:created xsi:type="dcterms:W3CDTF">2026-05-03T17:53:12Z</dcterms:created>
  <dcterms:modified xsi:type="dcterms:W3CDTF">2026-05-14T11:32:04Z</dcterms:modified>
  <dc:language>en-US</dc:language>
</cp:coreProperties>
</file>